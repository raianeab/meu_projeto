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" sheetId="1" r:id="rId4"/>
  </sheets>
  <definedNames>
    <definedName hidden="1" localSheetId="0" name="_xlnm._FilterDatabase">Template!$A$1:$AC$1</definedName>
  </definedNames>
  <calcPr/>
  <extLst>
    <ext uri="GoogleSheetsCustomDataVersion2">
      <go:sheetsCustomData xmlns:go="http://customooxmlschemas.google.com/" r:id="rId5" roundtripDataChecksum="+rb9Whpq4sjdW5m6kIvEJNb735CTB9B0exmJN5cjmeg="/>
    </ext>
  </extLst>
</workbook>
</file>

<file path=xl/sharedStrings.xml><?xml version="1.0" encoding="utf-8"?>
<sst xmlns="http://schemas.openxmlformats.org/spreadsheetml/2006/main" count="5613" uniqueCount="280">
  <si>
    <t>Unidade de Negócio</t>
  </si>
  <si>
    <t>Diretoria / Divisão</t>
  </si>
  <si>
    <t>Gerência / Área</t>
  </si>
  <si>
    <t>Matrícula do Colaborador</t>
  </si>
  <si>
    <t>Nome do Cargo</t>
  </si>
  <si>
    <t>Grade</t>
  </si>
  <si>
    <t>Nível Hierárquico</t>
  </si>
  <si>
    <t>Estado</t>
  </si>
  <si>
    <t>Cidade</t>
  </si>
  <si>
    <t>Gênero</t>
  </si>
  <si>
    <t>Data Contratação</t>
  </si>
  <si>
    <t>Data Nascimento</t>
  </si>
  <si>
    <t>Matrícula do Líder</t>
  </si>
  <si>
    <t>Salário Mensal</t>
  </si>
  <si>
    <t>Periculosidade
+ Insalubridade 
+ Outros Adicionais Fixos Mensais</t>
  </si>
  <si>
    <t>Número de Salários Pagos ao Ano</t>
  </si>
  <si>
    <t>Incentivo de Curto Prazo Anual Alvo</t>
  </si>
  <si>
    <t>Incentivo de Curto Prazo Anual Pago</t>
  </si>
  <si>
    <t>Incentivo de Longo Prazo Anual Alvo</t>
  </si>
  <si>
    <t>Incentivo de Longo Prazo Anual Pago</t>
  </si>
  <si>
    <t>Remuneração Direta Alvo</t>
  </si>
  <si>
    <t>Camada Organizacional</t>
  </si>
  <si>
    <t>Span de Controle</t>
  </si>
  <si>
    <t>Índice de Eficiência Gerencial</t>
  </si>
  <si>
    <t>Cargo Líder</t>
  </si>
  <si>
    <t>Nível Hierárquico do Líder</t>
  </si>
  <si>
    <t>Camada Organizacional do Líder</t>
  </si>
  <si>
    <t>Coluna Auxiliar 1</t>
  </si>
  <si>
    <t>Coluna Auxiliar 2</t>
  </si>
  <si>
    <t xml:space="preserve">company_id
</t>
  </si>
  <si>
    <t>Business_Unit</t>
  </si>
  <si>
    <t>Group_Macro</t>
  </si>
  <si>
    <t>Group_Micro</t>
  </si>
  <si>
    <t>EmployeeID</t>
  </si>
  <si>
    <t>EmployeeJobTitle</t>
  </si>
  <si>
    <t>InternalGrade</t>
  </si>
  <si>
    <t>EmployeeGroup</t>
  </si>
  <si>
    <t>Gender</t>
  </si>
  <si>
    <t>HireDate</t>
  </si>
  <si>
    <t>BirthDate</t>
  </si>
  <si>
    <t>ManagerEmployeeID</t>
  </si>
  <si>
    <t>Monthly_Salary</t>
  </si>
  <si>
    <t>Monthly_FixedAdditives</t>
  </si>
  <si>
    <t>SalariesPerYear</t>
  </si>
  <si>
    <t>ICP_Target</t>
  </si>
  <si>
    <t>ICP_Paid</t>
  </si>
  <si>
    <t>ILP_Target</t>
  </si>
  <si>
    <t>ILP_Paid</t>
  </si>
  <si>
    <t>RDA</t>
  </si>
  <si>
    <t>Layer</t>
  </si>
  <si>
    <t>Span</t>
  </si>
  <si>
    <t>IEG</t>
  </si>
  <si>
    <t>ManagerJobTitle</t>
  </si>
  <si>
    <t>ManagerGroup</t>
  </si>
  <si>
    <t>ManagerLayer</t>
  </si>
  <si>
    <t>AUX_IEG1</t>
  </si>
  <si>
    <t>AUX_IEG2</t>
  </si>
  <si>
    <t>AUX_IEG3</t>
  </si>
  <si>
    <t>ab28b61c-af05-49c5-9d7a-0a76ad62ccfc</t>
  </si>
  <si>
    <t>MATRIZ</t>
  </si>
  <si>
    <t>FINANÇAS</t>
  </si>
  <si>
    <t>TESOURARIA</t>
  </si>
  <si>
    <t>ANALISTA FINANCEIRO PL</t>
  </si>
  <si>
    <t>Operacionais / Profissionais</t>
  </si>
  <si>
    <t>SP</t>
  </si>
  <si>
    <t>SÃO PAULO</t>
  </si>
  <si>
    <t>Masculino</t>
  </si>
  <si>
    <t>PRODUTO E ESTILO</t>
  </si>
  <si>
    <t>GERENCIA DE ESTILO</t>
  </si>
  <si>
    <t>ASSISTENTE ADMINISTRATIVO</t>
  </si>
  <si>
    <t>Feminino</t>
  </si>
  <si>
    <t>COMPRAS E LOGÍSTICA</t>
  </si>
  <si>
    <t>GERÊNCIA DE PLANEJAMENTO E ALOCAÇÃO</t>
  </si>
  <si>
    <t>ANALISTA DE PLANEJAMENTO SR</t>
  </si>
  <si>
    <t>ASSISTENTE DE ESTILO</t>
  </si>
  <si>
    <t>MARKETING</t>
  </si>
  <si>
    <t>GERENCIA DE MARKETING</t>
  </si>
  <si>
    <t>DESIGNER PL</t>
  </si>
  <si>
    <t>ESTILISTA SR</t>
  </si>
  <si>
    <t>ANALISTA FINANCEIRO JR</t>
  </si>
  <si>
    <t>COMERCIAL</t>
  </si>
  <si>
    <t>GERENCIA DE OPERAÇÕES</t>
  </si>
  <si>
    <t>ANALISTA DE INTELIGENCIA COMERCIAL PL</t>
  </si>
  <si>
    <t>ANALISTA FINANCEIRO SR</t>
  </si>
  <si>
    <t>COMPRAS E MANUTENÇÃO</t>
  </si>
  <si>
    <t>AUXILIAR DE SERVIÇOS GERAIS</t>
  </si>
  <si>
    <t>COORDENADOR DE MARKETING</t>
  </si>
  <si>
    <t>Coordenador</t>
  </si>
  <si>
    <t>COORDENADOR DE INTELIGÊNCIA COMERCIAL</t>
  </si>
  <si>
    <t>GERENCIA DE VISUAL MERCHADISING</t>
  </si>
  <si>
    <t>CONSULTOR DE VISUAL MERCHANDISING</t>
  </si>
  <si>
    <t>TECNOLOGIA DA INFORMAÇÃO</t>
  </si>
  <si>
    <t>ANALISTA DE TI PL</t>
  </si>
  <si>
    <t>COORDENADOR DE PLANEJAMENTO</t>
  </si>
  <si>
    <t>E-COMMERCE</t>
  </si>
  <si>
    <t>ASSISTENTE DE VENDAS E-COMMERCE</t>
  </si>
  <si>
    <t>RECURSOS HUMANOS</t>
  </si>
  <si>
    <t>DEPARTAMENTO PESSOAL</t>
  </si>
  <si>
    <t>COORDENADOR DE RECURSOS HUMANOS</t>
  </si>
  <si>
    <t>CONTROLADORIA</t>
  </si>
  <si>
    <t>COORDENADOR FISCAL</t>
  </si>
  <si>
    <t>JURIDICO</t>
  </si>
  <si>
    <t>ASSISTENTE JURIDICO</t>
  </si>
  <si>
    <t>ARQUITETURA</t>
  </si>
  <si>
    <t>ANALISTA DE GESTÃO DE PROJETOS JR</t>
  </si>
  <si>
    <t>ADVOGADO JR</t>
  </si>
  <si>
    <t>ANALISTA DE MARKETING PL</t>
  </si>
  <si>
    <t>DESIGNER SR</t>
  </si>
  <si>
    <t>ASSISTENTE FINANCEIRO</t>
  </si>
  <si>
    <t>ANALISTA DE TI JR</t>
  </si>
  <si>
    <t>GERENTE DE PLANEJAMENTO</t>
  </si>
  <si>
    <t>Gerente</t>
  </si>
  <si>
    <t>ANALISTA FISCAL PL</t>
  </si>
  <si>
    <t>ASSISTENTE DE COMPRAS</t>
  </si>
  <si>
    <t>ANALISTA DE PESSOAL JR</t>
  </si>
  <si>
    <t>ANALISTA DE PLANEJAMENTO PL</t>
  </si>
  <si>
    <t>COORDENADOR DE COMPRAS</t>
  </si>
  <si>
    <t>ANALISTA DE COMPRAS PL</t>
  </si>
  <si>
    <t>ANALISTA DE IMPLANTAÇÃO PL</t>
  </si>
  <si>
    <t>RECRUTAMENTO E SELECAO</t>
  </si>
  <si>
    <t>ANALISTA DE RH PL</t>
  </si>
  <si>
    <t>ANALISTA DE RH SR</t>
  </si>
  <si>
    <t>ASSISTENTE DE DESIGNER</t>
  </si>
  <si>
    <t>ARQUITETO PL</t>
  </si>
  <si>
    <t>DESENVOLVEDOR JR</t>
  </si>
  <si>
    <t>ANALISTA DE UX PL</t>
  </si>
  <si>
    <t>PROGRAMADOR FRONT END</t>
  </si>
  <si>
    <t>COMPRADOR JR</t>
  </si>
  <si>
    <t>DIRETORIA ADMINISTRATIVA FINANCEIRA</t>
  </si>
  <si>
    <t>GERENTE DE PLAN. FINANCEIRO</t>
  </si>
  <si>
    <t>COORDENADORA DE IMPORTAÇÃO</t>
  </si>
  <si>
    <t>ANALISTA FISCAL SR</t>
  </si>
  <si>
    <t>ESTILISTA PLENO</t>
  </si>
  <si>
    <t>ANALISTA DE PLANEJAMENTO JR</t>
  </si>
  <si>
    <t>AUDITORIA</t>
  </si>
  <si>
    <t>ANALISTA DE PROCESSOS JR</t>
  </si>
  <si>
    <t>ANALISTA CONTÁBIL PL</t>
  </si>
  <si>
    <t>ENCARREGADO DE MANUTENÇÃO</t>
  </si>
  <si>
    <t>COORDENADOR DE TI</t>
  </si>
  <si>
    <t>COORDENADOR DE PRODUTOS</t>
  </si>
  <si>
    <t>ANALISTA PLANEJAMENTO FINANCEIRO SR</t>
  </si>
  <si>
    <t>COORDENADOR DE ECOMMERCE</t>
  </si>
  <si>
    <t>MODELISTA</t>
  </si>
  <si>
    <t>COMPRADOR PL</t>
  </si>
  <si>
    <t>COMPRADOR SR</t>
  </si>
  <si>
    <t>ASSISTENTE FISCAL</t>
  </si>
  <si>
    <t>ANALISTA DE ECOMMERCE PL</t>
  </si>
  <si>
    <t>ANALISTA DE VM PLENO</t>
  </si>
  <si>
    <t>COORDENADOR CONTABIL</t>
  </si>
  <si>
    <t>ANALISTA DE VM SENIOR</t>
  </si>
  <si>
    <t>ANALISTA DE ESTRATÉGIA DE PRODUTOS SR</t>
  </si>
  <si>
    <t>ANALISTA DE PROCESSOS PL</t>
  </si>
  <si>
    <t>ANALISTA DE VM JR</t>
  </si>
  <si>
    <t>ANALISTA DE TRADE MARKETING PL</t>
  </si>
  <si>
    <t>REGIONAL SP 2</t>
  </si>
  <si>
    <t>GERENTE COMERCIAL</t>
  </si>
  <si>
    <t>MARKETPLACE OUT</t>
  </si>
  <si>
    <t>ANALISTA MARKET PLACE JR</t>
  </si>
  <si>
    <t>ANALISTA DE SISTEMAS PL</t>
  </si>
  <si>
    <t>ANALISTA DE ECOMMERCE JR</t>
  </si>
  <si>
    <t>REGIONAL NORDESTE</t>
  </si>
  <si>
    <t>COORDENADOR DE MARKETPLACE</t>
  </si>
  <si>
    <t>DESENVOLVIMENTO DE PRODUTO</t>
  </si>
  <si>
    <t>DIRETORA DE PRODUTO E ESTILO</t>
  </si>
  <si>
    <t>Diretor</t>
  </si>
  <si>
    <t>GERENTE DE PRODUTO E NOVOS NEGOCIOS</t>
  </si>
  <si>
    <t>DIRETORIA DE RECURSOS HUMANOS</t>
  </si>
  <si>
    <t>DIRETORA DE RECURSOS HUMANOS</t>
  </si>
  <si>
    <t>GERENTE DE MARKETING</t>
  </si>
  <si>
    <t>DIRETOR COMERCIAL</t>
  </si>
  <si>
    <t>PRESIDÊNCIA</t>
  </si>
  <si>
    <t>CEO</t>
  </si>
  <si>
    <t>CONSELHO</t>
  </si>
  <si>
    <t>GERENTE SISTEMA DA INFORMAÇÃO</t>
  </si>
  <si>
    <t>DIRETOR FINANCEIRO</t>
  </si>
  <si>
    <t>GERENTE DE CONTROLADORIA</t>
  </si>
  <si>
    <t>DIRETOR DE MARKETING</t>
  </si>
  <si>
    <t>DIRETORA DE COMPRAS E LOGISTICA</t>
  </si>
  <si>
    <t>REGIONAL OUTROS ESTADOS</t>
  </si>
  <si>
    <t>GERENTE PLANEJAMENTO ESTRATEGICO</t>
  </si>
  <si>
    <t>GERENTE DE VM</t>
  </si>
  <si>
    <t>SUPERVISÃO DE FRANQUIAS</t>
  </si>
  <si>
    <t>ANALISTA DE OPERAÇÕES E EXPANSÃO JR</t>
  </si>
  <si>
    <t>COORDENADOR DE EXPANSÃO</t>
  </si>
  <si>
    <t>GERENTE DE EXPANSÃO, IMPLANTAÇÃO E PROJETOS</t>
  </si>
  <si>
    <t>CD - SANTANA DE PARNAIBA</t>
  </si>
  <si>
    <t>ANALISTA DE LOGÍSTICA PL</t>
  </si>
  <si>
    <t>ANALISTA DE CONTROLE DE QUALIDADE</t>
  </si>
  <si>
    <t>COORDENADOR DE LOGISTICA</t>
  </si>
  <si>
    <t>GERENTE JURIDICO</t>
  </si>
  <si>
    <t>LOJA</t>
  </si>
  <si>
    <t>REGIONAL RIO DE JANEIRO</t>
  </si>
  <si>
    <t>RIO DE JANEIRO-L</t>
  </si>
  <si>
    <t>VENDEDOR I</t>
  </si>
  <si>
    <t>RJ</t>
  </si>
  <si>
    <t>RIO DE JANEIRO</t>
  </si>
  <si>
    <t>CAIXA I</t>
  </si>
  <si>
    <t>SUB GERENTE DE LOJA</t>
  </si>
  <si>
    <t>AUXILIAR DE LOJA I</t>
  </si>
  <si>
    <t>GERENTE DE LOJA</t>
  </si>
  <si>
    <t>GERENTE</t>
  </si>
  <si>
    <t>APRENDIZ</t>
  </si>
  <si>
    <t>RIO DE JANEIRO-R</t>
  </si>
  <si>
    <t>VENDEDOR RESPONSAVEL</t>
  </si>
  <si>
    <t>VENDEDOR LIDER VM</t>
  </si>
  <si>
    <t>RIO DE JANEIRO-B</t>
  </si>
  <si>
    <t>AUXILIAR DE LOJA LÍDER DE VM</t>
  </si>
  <si>
    <t>ESTOQUISTA I</t>
  </si>
  <si>
    <t>GERENTE DE LOJA SR</t>
  </si>
  <si>
    <t>REGIONAL SÃO PAULO</t>
  </si>
  <si>
    <t>SÃO PAULO-V</t>
  </si>
  <si>
    <t>GERENTE DE LOJA JR</t>
  </si>
  <si>
    <t>SÃO PAULO-M</t>
  </si>
  <si>
    <t>AUXILIAR DE LOJA</t>
  </si>
  <si>
    <t>CAMPINAS-I</t>
  </si>
  <si>
    <t>CAMPINAS</t>
  </si>
  <si>
    <t>SÃO PAULO-E</t>
  </si>
  <si>
    <t>SÃO PAULO-I</t>
  </si>
  <si>
    <t>SÃO PAULO-A</t>
  </si>
  <si>
    <t>GERENTE DE LOJA PL</t>
  </si>
  <si>
    <t>BRASILIA-P</t>
  </si>
  <si>
    <t>DF</t>
  </si>
  <si>
    <t>BRASILIA</t>
  </si>
  <si>
    <t>BELO HORIZONTE-S</t>
  </si>
  <si>
    <t>MG</t>
  </si>
  <si>
    <t>BELO HORIZONTE</t>
  </si>
  <si>
    <t>SÃO PAULO-J</t>
  </si>
  <si>
    <t>VENDEDOR</t>
  </si>
  <si>
    <t>SÃO PAULO-B</t>
  </si>
  <si>
    <t>RECIFE - R</t>
  </si>
  <si>
    <t>PE</t>
  </si>
  <si>
    <t>RECIFE</t>
  </si>
  <si>
    <t>RIBEIRÃO PRETO - R</t>
  </si>
  <si>
    <t>RIBEIRÃO PRETO</t>
  </si>
  <si>
    <t>NITEROI</t>
  </si>
  <si>
    <t>RECIFE - S</t>
  </si>
  <si>
    <t>CURITIBA - M</t>
  </si>
  <si>
    <t>PR</t>
  </si>
  <si>
    <t>CURITIBA</t>
  </si>
  <si>
    <t>SALVADOR</t>
  </si>
  <si>
    <t>BA</t>
  </si>
  <si>
    <t>SALVADOR  - B</t>
  </si>
  <si>
    <t>FORTALEZA  - R</t>
  </si>
  <si>
    <t>CE</t>
  </si>
  <si>
    <t>FORTALEZA</t>
  </si>
  <si>
    <t>BH</t>
  </si>
  <si>
    <t>GOIANIA - F</t>
  </si>
  <si>
    <t>GO</t>
  </si>
  <si>
    <t>ALEXANDRIA</t>
  </si>
  <si>
    <t>FORTALEZA - I</t>
  </si>
  <si>
    <t>SÃO PAULO - C</t>
  </si>
  <si>
    <t>SALVADOR  - S</t>
  </si>
  <si>
    <t>BRASILIA - B</t>
  </si>
  <si>
    <t>RIO - B</t>
  </si>
  <si>
    <t>SÃO PAULO - H</t>
  </si>
  <si>
    <t>RIO - P</t>
  </si>
  <si>
    <t>RS</t>
  </si>
  <si>
    <t>PORTO ALEGRE</t>
  </si>
  <si>
    <t>PORTO ALEGRE - I</t>
  </si>
  <si>
    <t>CURITIBA B</t>
  </si>
  <si>
    <t>NATAL -M</t>
  </si>
  <si>
    <t>RN</t>
  </si>
  <si>
    <t>NATAL</t>
  </si>
  <si>
    <t>RIO - T</t>
  </si>
  <si>
    <t>BELEM - B</t>
  </si>
  <si>
    <t>PA</t>
  </si>
  <si>
    <t>BELEM</t>
  </si>
  <si>
    <t>RIO - D</t>
  </si>
  <si>
    <t>ITAQUAQUECETUBA - O</t>
  </si>
  <si>
    <t>ITAQUAQUECETUBA</t>
  </si>
  <si>
    <t>ITUPEVA - O</t>
  </si>
  <si>
    <t>ITUPEVA</t>
  </si>
  <si>
    <t>BRASILIA - O</t>
  </si>
  <si>
    <t>PAULISTA - P</t>
  </si>
  <si>
    <t>SÃO PAULO - T</t>
  </si>
  <si>
    <t>CATARINA - O</t>
  </si>
  <si>
    <t>SÃO ROQUE</t>
  </si>
  <si>
    <t>CONTAGEM</t>
  </si>
  <si>
    <t>RIO - G</t>
  </si>
  <si>
    <t>RIO - DP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</si>
</sst>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"/>
    <numFmt numFmtId="165" formatCode="_-* #,##0.00_-;\-* #,##0.00_-;_-* &quot;-&quot;??_-;_-@"/>
    <numFmt numFmtId="166" formatCode="_(* #,##0.00_);_(* \(#,##0.00\);_(* &quot;-&quot;??_);_(@_)"/>
  </numFmts>
  <fonts count="9">
    <font>
      <sz val="11.0"/>
      <color rgb="FF000000"/>
      <name val="Calibri"/>
      <scheme val="minor"/>
    </font>
    <font>
      <b/>
      <sz val="12.0"/>
      <color theme="0"/>
      <name val="Calibri"/>
    </font>
    <font>
      <b/>
      <sz val="12.0"/>
      <color theme="1"/>
      <name val="Calibri"/>
    </font>
    <font>
      <b/>
      <sz val="12.0"/>
      <color rgb="FFFFFFFF"/>
      <name val="Calibri"/>
    </font>
    <font>
      <sz val="11.0"/>
      <color rgb="FF000000"/>
      <name val="Calibri"/>
    </font>
    <font>
      <sz val="11.0"/>
      <color theme="0"/>
      <name val="Calibri"/>
    </font>
    <font>
      <b/>
      <sz val="11.0"/>
      <color theme="0"/>
      <name val="Calibri"/>
    </font>
    <font>
      <sz val="11.0"/>
      <color theme="1"/>
      <name val="Calibri"/>
    </font>
    <font>
      <sz val="9.0"/>
      <color theme="1"/>
      <name val="Consolas"/>
    </font>
  </fonts>
  <fills count="6">
    <fill>
      <patternFill patternType="none"/>
    </fill>
    <fill>
      <patternFill patternType="lightGray"/>
    </fill>
    <fill>
      <patternFill patternType="solid">
        <fgColor rgb="FF006550"/>
        <bgColor rgb="FF006550"/>
      </patternFill>
    </fill>
    <fill>
      <patternFill patternType="solid">
        <fgColor theme="9"/>
        <bgColor theme="9"/>
      </patternFill>
    </fill>
    <fill>
      <patternFill patternType="solid">
        <fgColor rgb="FFE9E8E9"/>
        <bgColor rgb="FFE9E8E9"/>
      </patternFill>
    </fill>
    <fill>
      <patternFill patternType="solid">
        <fgColor rgb="FFD3D2D3"/>
        <bgColor rgb="FFD3D2D3"/>
      </patternFill>
    </fill>
  </fills>
  <borders count="4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</border>
    <border>
      <left style="thin">
        <color rgb="FFBDBCBD"/>
      </left>
      <right style="thin">
        <color rgb="FFBDBCBD"/>
      </right>
      <top style="thin">
        <color rgb="FFBDBCBD"/>
      </top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164" xfId="0" applyAlignment="1" applyBorder="1" applyFont="1" applyNumberFormat="1">
      <alignment horizontal="center" shrinkToFit="0" vertical="center" wrapText="1"/>
    </xf>
    <xf borderId="1" fillId="2" fontId="1" numFmtId="49" xfId="0" applyAlignment="1" applyBorder="1" applyFont="1" applyNumberFormat="1">
      <alignment horizontal="center" shrinkToFit="0" vertical="center" wrapText="1"/>
    </xf>
    <xf borderId="1" fillId="3" fontId="2" numFmtId="3" xfId="0" applyAlignment="1" applyBorder="1" applyFill="1" applyFont="1" applyNumberFormat="1">
      <alignment horizontal="center" shrinkToFit="0" vertical="center" wrapText="1"/>
    </xf>
    <xf borderId="1" fillId="3" fontId="2" numFmtId="0" xfId="0" applyAlignment="1" applyBorder="1" applyFont="1">
      <alignment horizontal="center" shrinkToFit="0" vertical="center" wrapText="1"/>
    </xf>
    <xf borderId="0" fillId="2" fontId="3" numFmtId="0" xfId="0" applyAlignment="1" applyFont="1">
      <alignment horizontal="center" shrinkToFit="0" wrapText="1"/>
    </xf>
    <xf borderId="0" fillId="0" fontId="4" numFmtId="165" xfId="0" applyFont="1" applyNumberFormat="1"/>
    <xf borderId="2" fillId="2" fontId="5" numFmtId="0" xfId="0" applyAlignment="1" applyBorder="1" applyFont="1">
      <alignment horizontal="center"/>
    </xf>
    <xf borderId="2" fillId="3" fontId="5" numFmtId="0" xfId="0" applyAlignment="1" applyBorder="1" applyFont="1">
      <alignment horizontal="center"/>
    </xf>
    <xf borderId="2" fillId="3" fontId="6" numFmtId="0" xfId="0" applyAlignment="1" applyBorder="1" applyFont="1">
      <alignment horizontal="center" vertical="center"/>
    </xf>
    <xf borderId="0" fillId="0" fontId="5" numFmtId="0" xfId="0" applyFont="1"/>
    <xf borderId="0" fillId="4" fontId="7" numFmtId="165" xfId="0" applyAlignment="1" applyFill="1" applyFont="1" applyNumberFormat="1">
      <alignment horizontal="center" vertical="bottom"/>
    </xf>
    <xf borderId="0" fillId="0" fontId="4" numFmtId="3" xfId="0" applyFont="1" applyNumberFormat="1"/>
    <xf borderId="0" fillId="0" fontId="8" numFmtId="0" xfId="0" applyAlignment="1" applyFont="1">
      <alignment vertical="center"/>
    </xf>
    <xf borderId="0" fillId="0" fontId="4" numFmtId="14" xfId="0" applyFont="1" applyNumberFormat="1"/>
    <xf borderId="0" fillId="0" fontId="4" numFmtId="3" xfId="0" applyAlignment="1" applyFont="1" applyNumberFormat="1">
      <alignment horizontal="center"/>
    </xf>
    <xf borderId="0" fillId="0" fontId="4" numFmtId="0" xfId="0" applyAlignment="1" applyFont="1">
      <alignment horizontal="center" vertical="center"/>
    </xf>
    <xf borderId="3" fillId="0" fontId="4" numFmtId="3" xfId="0" applyAlignment="1" applyBorder="1" applyFont="1" applyNumberFormat="1">
      <alignment horizontal="center" vertical="center"/>
    </xf>
    <xf borderId="0" fillId="5" fontId="7" numFmtId="165" xfId="0" applyAlignment="1" applyFill="1" applyFont="1" applyNumberFormat="1">
      <alignment horizontal="center" vertical="bottom"/>
    </xf>
    <xf borderId="0" fillId="0" fontId="4" numFmtId="166" xfId="0" applyFont="1" applyNumberFormat="1"/>
    <xf borderId="0" fillId="0" fontId="4" numFmtId="3" xfId="0" applyAlignment="1" applyFont="1" applyNumberFormat="1">
      <alignment horizontal="center" vertical="center"/>
    </xf>
    <xf borderId="0" fillId="0" fontId="4" numFmtId="165" xfId="0" applyAlignment="1" applyFont="1" applyNumberFormat="1">
      <alignment horizontal="center"/>
    </xf>
    <xf borderId="0" fillId="0" fontId="4" numFmtId="0" xfId="0" applyAlignment="1" applyFont="1">
      <alignment horizontal="center"/>
    </xf>
    <xf borderId="0" fillId="0" fontId="4" numFmtId="14" xfId="0" applyFont="1" applyNumberFormat="1"/>
    <xf borderId="0" fillId="0" fontId="4" numFmtId="166" xfId="0" applyFont="1" applyNumberFormat="1"/>
    <xf borderId="0" fillId="0" fontId="4" numFmtId="3" xfId="0" applyAlignment="1" applyFont="1" applyNumberFormat="1">
      <alignment horizontal="center"/>
    </xf>
    <xf borderId="0" fillId="0" fontId="4" numFmtId="0" xfId="0" applyAlignment="1" applyFont="1">
      <alignment horizontal="center" vertic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E9E8E9"/>
          <bgColor rgb="FFE9E8E9"/>
        </patternFill>
      </fill>
      <border/>
    </dxf>
    <dxf>
      <font/>
      <fill>
        <patternFill patternType="solid">
          <fgColor rgb="FFD3D2D3"/>
          <bgColor rgb="FFD3D2D3"/>
        </patternFill>
      </fill>
      <border/>
    </dxf>
  </dxfs>
  <tableStyles count="1">
    <tableStyle count="3" pivot="0" name="Template-style">
      <tableStyleElement dxfId="1" type="headerRow"/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2:AE619" displayName="Table_1" name="Table_1" id="1">
  <tableColumns count="31">
    <tableColumn name="Business_Unit" id="1"/>
    <tableColumn name="Group_Macro" id="2"/>
    <tableColumn name="Group_Micro" id="3"/>
    <tableColumn name="EmployeeID" id="4"/>
    <tableColumn name="EmployeeJobTitle" id="5"/>
    <tableColumn name="InternalGrade" id="6"/>
    <tableColumn name="EmployeeGroup" id="7"/>
    <tableColumn name="Estado" id="8"/>
    <tableColumn name="Cidade" id="9"/>
    <tableColumn name="Gender" id="10"/>
    <tableColumn name="HireDate" id="11"/>
    <tableColumn name="BirthDate" id="12"/>
    <tableColumn name="ManagerEmployeeID" id="13"/>
    <tableColumn name="Monthly_Salary" id="14"/>
    <tableColumn name="Monthly_FixedAdditives" id="15"/>
    <tableColumn name="SalariesPerYear" id="16"/>
    <tableColumn name="ICP_Target" id="17"/>
    <tableColumn name="ICP_Paid" id="18"/>
    <tableColumn name="ILP_Target" id="19"/>
    <tableColumn name="ILP_Paid" id="20"/>
    <tableColumn name="RDA" id="21"/>
    <tableColumn name="Layer" id="22"/>
    <tableColumn name="Span" id="23"/>
    <tableColumn name="IEG" id="24"/>
    <tableColumn name="ManagerJobTitle" id="25"/>
    <tableColumn name="ManagerGroup" id="26"/>
    <tableColumn name="ManagerLayer" id="27"/>
    <tableColumn name="AUX_IEG1" id="28"/>
    <tableColumn name="AUX_IEG2" id="29"/>
    <tableColumn name="AUX_IEG3" id="30"/>
    <tableColumn name="ab28b61c-af05-49c5-9d7a-0a76ad62ccfc" id="31"/>
  </tableColumns>
  <tableStyleInfo name="Temp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DBB"/>
      </a:accent1>
      <a:accent2>
        <a:srgbClr val="008B96"/>
      </a:accent2>
      <a:accent3>
        <a:srgbClr val="053329"/>
      </a:accent3>
      <a:accent4>
        <a:srgbClr val="929192"/>
      </a:accent4>
      <a:accent5>
        <a:srgbClr val="DBD9D6"/>
      </a:accent5>
      <a:accent6>
        <a:srgbClr val="C4D600"/>
      </a:accent6>
      <a:hlink>
        <a:srgbClr val="00ADBB"/>
      </a:hlink>
      <a:folHlink>
        <a:srgbClr val="00ADBB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9.43"/>
    <col customWidth="1" min="2" max="2" width="35.86"/>
    <col customWidth="1" min="3" max="3" width="44.71"/>
    <col customWidth="1" min="4" max="4" width="26.86"/>
    <col customWidth="1" min="5" max="5" width="64.43"/>
    <col customWidth="1" min="6" max="6" width="28.57"/>
    <col customWidth="1" min="7" max="7" width="26.29"/>
    <col customWidth="1" min="8" max="8" width="16.0"/>
    <col customWidth="1" min="9" max="9" width="16.29"/>
    <col customWidth="1" min="10" max="10" width="16.71"/>
    <col customWidth="1" min="11" max="11" width="18.14"/>
    <col customWidth="1" min="12" max="12" width="18.86"/>
    <col customWidth="1" min="13" max="13" width="31.57"/>
    <col customWidth="1" min="14" max="14" width="25.86"/>
    <col customWidth="1" min="15" max="15" width="35.71"/>
    <col customWidth="1" min="16" max="16" width="26.86"/>
    <col customWidth="1" min="17" max="17" width="21.0"/>
    <col customWidth="1" min="18" max="18" width="22.29"/>
    <col customWidth="1" min="19" max="19" width="20.29"/>
    <col customWidth="1" min="20" max="20" width="21.71"/>
    <col customWidth="1" min="21" max="22" width="24.43"/>
    <col customWidth="1" min="23" max="23" width="15.71"/>
    <col customWidth="1" min="24" max="24" width="27.29"/>
    <col customWidth="1" min="25" max="25" width="25.29"/>
    <col customWidth="1" min="26" max="26" width="24.57"/>
    <col customWidth="1" min="27" max="27" width="15.71"/>
    <col customWidth="1" min="28" max="28" width="11.71"/>
    <col customWidth="1" min="29" max="30" width="9.29"/>
    <col customWidth="1" min="31" max="31" width="39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3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5" t="s">
        <v>28</v>
      </c>
      <c r="AE1" s="6" t="s">
        <v>29</v>
      </c>
    </row>
    <row r="2">
      <c r="A2" s="7" t="s">
        <v>30</v>
      </c>
      <c r="B2" s="7" t="s">
        <v>31</v>
      </c>
      <c r="C2" s="7" t="s">
        <v>32</v>
      </c>
      <c r="D2" s="7" t="s">
        <v>33</v>
      </c>
      <c r="E2" s="7" t="s">
        <v>34</v>
      </c>
      <c r="F2" s="7" t="s">
        <v>35</v>
      </c>
      <c r="G2" s="7" t="s">
        <v>36</v>
      </c>
      <c r="H2" s="7" t="s">
        <v>7</v>
      </c>
      <c r="I2" s="7" t="s">
        <v>8</v>
      </c>
      <c r="J2" s="7" t="s">
        <v>37</v>
      </c>
      <c r="K2" s="7" t="s">
        <v>38</v>
      </c>
      <c r="L2" s="7" t="s">
        <v>39</v>
      </c>
      <c r="M2" s="7" t="s">
        <v>40</v>
      </c>
      <c r="N2" s="7" t="s">
        <v>41</v>
      </c>
      <c r="O2" s="7" t="s">
        <v>42</v>
      </c>
      <c r="P2" s="7" t="s">
        <v>43</v>
      </c>
      <c r="Q2" s="7" t="s">
        <v>44</v>
      </c>
      <c r="R2" s="8" t="s">
        <v>45</v>
      </c>
      <c r="S2" s="8" t="s">
        <v>46</v>
      </c>
      <c r="T2" s="8" t="s">
        <v>47</v>
      </c>
      <c r="U2" s="9" t="s">
        <v>48</v>
      </c>
      <c r="V2" s="9" t="s">
        <v>49</v>
      </c>
      <c r="W2" s="9" t="s">
        <v>50</v>
      </c>
      <c r="X2" s="9" t="s">
        <v>51</v>
      </c>
      <c r="Y2" s="9" t="s">
        <v>52</v>
      </c>
      <c r="Z2" s="9" t="s">
        <v>53</v>
      </c>
      <c r="AA2" s="9" t="s">
        <v>54</v>
      </c>
      <c r="AB2" s="10" t="s">
        <v>55</v>
      </c>
      <c r="AC2" s="10" t="s">
        <v>56</v>
      </c>
      <c r="AD2" s="11" t="s">
        <v>57</v>
      </c>
      <c r="AE2" s="12" t="s">
        <v>58</v>
      </c>
    </row>
    <row r="3">
      <c r="A3" s="7" t="s">
        <v>59</v>
      </c>
      <c r="B3" s="7" t="s">
        <v>60</v>
      </c>
      <c r="C3" s="7" t="s">
        <v>61</v>
      </c>
      <c r="D3" s="13">
        <v>20415.0</v>
      </c>
      <c r="E3" s="7" t="s">
        <v>62</v>
      </c>
      <c r="F3" s="13">
        <v>15.0</v>
      </c>
      <c r="G3" s="14" t="s">
        <v>63</v>
      </c>
      <c r="H3" s="7" t="s">
        <v>64</v>
      </c>
      <c r="I3" s="7" t="s">
        <v>65</v>
      </c>
      <c r="J3" s="7" t="s">
        <v>66</v>
      </c>
      <c r="K3" s="15">
        <v>44634.0</v>
      </c>
      <c r="L3" s="15">
        <v>27566.0</v>
      </c>
      <c r="M3" s="13">
        <v>23251.0</v>
      </c>
      <c r="N3" s="7">
        <v>5460.0</v>
      </c>
      <c r="O3" s="7"/>
      <c r="P3" s="7">
        <v>13.33</v>
      </c>
      <c r="Q3" s="7">
        <v>5460.0</v>
      </c>
      <c r="R3" s="7">
        <v>0.0</v>
      </c>
      <c r="S3" s="7"/>
      <c r="T3" s="7"/>
      <c r="U3" s="16">
        <f>SUM(Template!$N3:$O3)*Template!$P3+Template!$Q3</f>
        <v>78241.8</v>
      </c>
      <c r="V3" s="17" t="str">
        <f>IF(Template!$M3="CONSELHO","N",IF(Template!$AA3="N","N1",IF(Template!$AA3="N1","N2",IF(Template!$AA3="N2","N3",IF(Template!$AA3="N3","N4",IF(Template!$AA3="N4","N5",IF(Template!$AA3="N5","N6",IF(Template!$AA3="N6","N7",IF(Template!$AA3="N7","N8",IF(Template!$AA3="N8","N9",IF(Template!$AA3="N9","N10","NA")))))))))))</f>
        <v>N3</v>
      </c>
      <c r="W3" s="17">
        <f>COUNTIF(Template!$M$3:$M$619,Template!$D3)</f>
        <v>0</v>
      </c>
      <c r="X3" s="17">
        <f>IF(Template!$F3="","",SUMIF(Template!$M$3:$M$619,Template!$D3,Template!$AC$3:$AC$619))</f>
        <v>0</v>
      </c>
      <c r="Y3" s="17" t="str">
        <f>IFERROR(VLOOKUP(Template!$M3,Template!$D$3:$G$619,MATCH("EmployeeJobTitle",Template!$D$2:$G$2,0),FALSE),"NA")</f>
        <v>GERENTE DE CONTROLADORIA</v>
      </c>
      <c r="Z3" s="17" t="str">
        <f>IFERROR(VLOOKUP(Template!$M3,Template!$D$3:$G$619,MATCH("EmployeeGroup",Template!$D$2:$G$2,0),FALSE),"NA")</f>
        <v>Gerente</v>
      </c>
      <c r="AA3" s="17" t="str">
        <f>IFERROR(VLOOKUP(Template!$M3,Template!$D$3:$V$619,MATCH("Layer",Template!$D$2:$V$2,0),FALSE),"NA")</f>
        <v>N2</v>
      </c>
      <c r="AB3" s="18">
        <f>VLOOKUP(Template!$M3,Template!$D$3:$F$619,MATCH("InternalGrade",Template!$D$2:$F$2,0),FALSE)-Template!$F3</f>
        <v>4</v>
      </c>
      <c r="AC3" s="17">
        <f>IF(Template!$AB3&lt;=1, 0.8,IF(Template!$AB3=2,0.4,IF(Template!$AB3=3,0.2,IF(Template!$AB3=4,0.1,IF(Template!$AB3&gt;=5,0.05,"erro")))))</f>
        <v>0.1</v>
      </c>
      <c r="AD3" s="17" t="b">
        <f>Template!$D3=Template!$M3</f>
        <v>0</v>
      </c>
      <c r="AE3" s="19" t="s">
        <v>58</v>
      </c>
    </row>
    <row r="4">
      <c r="A4" s="7" t="s">
        <v>59</v>
      </c>
      <c r="B4" s="7" t="s">
        <v>67</v>
      </c>
      <c r="C4" s="7" t="s">
        <v>68</v>
      </c>
      <c r="D4" s="13">
        <v>16260.0</v>
      </c>
      <c r="E4" s="7" t="s">
        <v>69</v>
      </c>
      <c r="F4" s="13">
        <v>13.0</v>
      </c>
      <c r="G4" s="14" t="s">
        <v>63</v>
      </c>
      <c r="H4" s="7" t="s">
        <v>64</v>
      </c>
      <c r="I4" s="7" t="s">
        <v>65</v>
      </c>
      <c r="J4" s="7" t="s">
        <v>70</v>
      </c>
      <c r="K4" s="15">
        <v>42999.0</v>
      </c>
      <c r="L4" s="15">
        <v>31745.0</v>
      </c>
      <c r="M4" s="13">
        <v>23265.0</v>
      </c>
      <c r="N4" s="7">
        <v>3657.26</v>
      </c>
      <c r="O4" s="7"/>
      <c r="P4" s="7">
        <v>13.33</v>
      </c>
      <c r="Q4" s="7">
        <v>3657.26</v>
      </c>
      <c r="R4" s="20">
        <v>0.0</v>
      </c>
      <c r="S4" s="7"/>
      <c r="T4" s="20"/>
      <c r="U4" s="16">
        <f>SUM(Template!$N4:$O4)*Template!$P4+Template!$Q4</f>
        <v>52408.5358</v>
      </c>
      <c r="V4" s="17" t="str">
        <f>IF(Template!$M4="CONSELHO","N",IF(Template!$AA4="N","N1",IF(Template!$AA4="N1","N2",IF(Template!$AA4="N2","N3",IF(Template!$AA4="N3","N4",IF(Template!$AA4="N4","N5",IF(Template!$AA4="N5","N6",IF(Template!$AA4="N6","N7",IF(Template!$AA4="N7","N8",IF(Template!$AA4="N8","N9",IF(Template!$AA4="N9","N10","NA")))))))))))</f>
        <v>N2</v>
      </c>
      <c r="W4" s="17">
        <f>COUNTIF(Template!$M$3:$M$619,Template!$D4)</f>
        <v>0</v>
      </c>
      <c r="X4" s="17">
        <f>IF(Template!$F4="","",SUMIF(Template!$M$3:$M$619,Template!$D4,Template!$AC$3:$AC$619))</f>
        <v>0</v>
      </c>
      <c r="Y4" s="17" t="str">
        <f>IFERROR(VLOOKUP(Template!$M4,Template!$D$3:$G$619,MATCH("EmployeeJobTitle",Template!$D$2:$G$2,0),FALSE),"NA")</f>
        <v>DIRETORA DE PRODUTO E ESTILO</v>
      </c>
      <c r="Z4" s="17" t="str">
        <f>IFERROR(VLOOKUP(Template!$M4,Template!$D$3:$G$619,MATCH("EmployeeGroup",Template!$D$2:$G$2,0),FALSE),"NA")</f>
        <v>Diretor</v>
      </c>
      <c r="AA4" s="17" t="str">
        <f>IFERROR(VLOOKUP(Template!$M4,Template!$D$3:$V$619,MATCH("Layer",Template!$D$2:$V$2,0),FALSE),"NA")</f>
        <v>N1</v>
      </c>
      <c r="AB4" s="21">
        <f>VLOOKUP(Template!$M4,Template!$D$3:$F$619,MATCH("InternalGrade",Template!$D$2:$F$2,0),FALSE)-Template!$F4</f>
        <v>8</v>
      </c>
      <c r="AC4" s="17">
        <f>IF(Template!$AB4&lt;=1, 0.8,IF(Template!$AB4=2,0.4,IF(Template!$AB4=3,0.2,IF(Template!$AB4=4,0.1,IF(Template!$AB4&gt;=5,0.05,"erro")))))</f>
        <v>0.05</v>
      </c>
      <c r="AD4" s="17" t="b">
        <f>Template!$D4=Template!$M4</f>
        <v>0</v>
      </c>
      <c r="AE4" s="12" t="s">
        <v>58</v>
      </c>
    </row>
    <row r="5">
      <c r="A5" s="7" t="s">
        <v>59</v>
      </c>
      <c r="B5" s="7" t="s">
        <v>71</v>
      </c>
      <c r="C5" s="7" t="s">
        <v>72</v>
      </c>
      <c r="D5" s="13">
        <v>17543.0</v>
      </c>
      <c r="E5" s="7" t="s">
        <v>73</v>
      </c>
      <c r="F5" s="13">
        <v>16.0</v>
      </c>
      <c r="G5" s="14" t="s">
        <v>63</v>
      </c>
      <c r="H5" s="7" t="s">
        <v>64</v>
      </c>
      <c r="I5" s="7" t="s">
        <v>65</v>
      </c>
      <c r="J5" s="7" t="s">
        <v>70</v>
      </c>
      <c r="K5" s="15">
        <v>43507.0</v>
      </c>
      <c r="L5" s="15">
        <v>33608.0</v>
      </c>
      <c r="M5" s="13">
        <v>18792.0</v>
      </c>
      <c r="N5" s="7">
        <v>6123.6</v>
      </c>
      <c r="O5" s="7"/>
      <c r="P5" s="7">
        <v>13.33</v>
      </c>
      <c r="Q5" s="7">
        <v>6123.6</v>
      </c>
      <c r="R5" s="20">
        <v>0.0</v>
      </c>
      <c r="S5" s="7"/>
      <c r="T5" s="20"/>
      <c r="U5" s="16">
        <f>SUM(Template!$N5:$O5)*Template!$P5+Template!$Q5</f>
        <v>87751.188</v>
      </c>
      <c r="V5" s="17" t="str">
        <f>IF(Template!$M5="CONSELHO","N",IF(Template!$AA5="N","N1",IF(Template!$AA5="N1","N2",IF(Template!$AA5="N2","N3",IF(Template!$AA5="N3","N4",IF(Template!$AA5="N4","N5",IF(Template!$AA5="N5","N6",IF(Template!$AA5="N6","N7",IF(Template!$AA5="N7","N8",IF(Template!$AA5="N8","N9",IF(Template!$AA5="N9","N10","NA")))))))))))</f>
        <v>N4</v>
      </c>
      <c r="W5" s="17">
        <f>COUNTIF(Template!$M$3:$M$619,Template!$D5)</f>
        <v>0</v>
      </c>
      <c r="X5" s="17">
        <f>IF(Template!$F5="","",SUMIF(Template!$M$3:$M$619,Template!$D5,Template!$AC$3:$AC$619))</f>
        <v>0</v>
      </c>
      <c r="Y5" s="17" t="str">
        <f>IFERROR(VLOOKUP(Template!$M5,Template!$D$3:$G$619,MATCH("EmployeeJobTitle",Template!$D$2:$G$2,0),FALSE),"NA")</f>
        <v>COORDENADOR DE PLANEJAMENTO</v>
      </c>
      <c r="Z5" s="17" t="str">
        <f>IFERROR(VLOOKUP(Template!$M5,Template!$D$3:$G$619,MATCH("EmployeeGroup",Template!$D$2:$G$2,0),FALSE),"NA")</f>
        <v>Coordenador</v>
      </c>
      <c r="AA5" s="17" t="str">
        <f>IFERROR(VLOOKUP(Template!$M5,Template!$D$3:$V$619,MATCH("Layer",Template!$D$2:$V$2,0),FALSE),"NA")</f>
        <v>N3</v>
      </c>
      <c r="AB5" s="21">
        <f>VLOOKUP(Template!$M5,Template!$D$3:$F$619,MATCH("InternalGrade",Template!$D$2:$F$2,0),FALSE)-Template!$F5</f>
        <v>1</v>
      </c>
      <c r="AC5" s="17">
        <f>IF(Template!$AB5&lt;=1, 0.8,IF(Template!$AB5=2,0.4,IF(Template!$AB5=3,0.2,IF(Template!$AB5=4,0.1,IF(Template!$AB5&gt;=5,0.05,"erro")))))</f>
        <v>0.8</v>
      </c>
      <c r="AD5" s="17" t="b">
        <f>Template!$D5=Template!$M5</f>
        <v>0</v>
      </c>
      <c r="AE5" s="19" t="s">
        <v>58</v>
      </c>
    </row>
    <row r="6">
      <c r="A6" s="7" t="s">
        <v>59</v>
      </c>
      <c r="B6" s="7" t="s">
        <v>67</v>
      </c>
      <c r="C6" s="7" t="s">
        <v>68</v>
      </c>
      <c r="D6" s="13">
        <v>20290.0</v>
      </c>
      <c r="E6" s="7" t="s">
        <v>74</v>
      </c>
      <c r="F6" s="13">
        <v>13.0</v>
      </c>
      <c r="G6" s="14" t="s">
        <v>63</v>
      </c>
      <c r="H6" s="7" t="s">
        <v>64</v>
      </c>
      <c r="I6" s="7" t="s">
        <v>65</v>
      </c>
      <c r="J6" s="7" t="s">
        <v>70</v>
      </c>
      <c r="K6" s="15">
        <v>44536.0</v>
      </c>
      <c r="L6" s="15">
        <v>35751.0</v>
      </c>
      <c r="M6" s="13">
        <v>23265.0</v>
      </c>
      <c r="N6" s="7">
        <v>3132.0</v>
      </c>
      <c r="O6" s="7"/>
      <c r="P6" s="7">
        <v>13.33</v>
      </c>
      <c r="Q6" s="7">
        <v>3132.0</v>
      </c>
      <c r="R6" s="20">
        <v>0.0</v>
      </c>
      <c r="S6" s="7"/>
      <c r="T6" s="20"/>
      <c r="U6" s="16">
        <f>SUM(Template!$N6:$O6)*Template!$P6+Template!$Q6</f>
        <v>44881.56</v>
      </c>
      <c r="V6" s="17" t="str">
        <f>IF(Template!$M6="CONSELHO","N",IF(Template!$AA6="N","N1",IF(Template!$AA6="N1","N2",IF(Template!$AA6="N2","N3",IF(Template!$AA6="N3","N4",IF(Template!$AA6="N4","N5",IF(Template!$AA6="N5","N6",IF(Template!$AA6="N6","N7",IF(Template!$AA6="N7","N8",IF(Template!$AA6="N8","N9",IF(Template!$AA6="N9","N10","NA")))))))))))</f>
        <v>N2</v>
      </c>
      <c r="W6" s="17">
        <f>COUNTIF(Template!$M$3:$M$619,Template!$D6)</f>
        <v>0</v>
      </c>
      <c r="X6" s="17">
        <f>IF(Template!$F6="","",SUMIF(Template!$M$3:$M$619,Template!$D6,Template!$AC$3:$AC$619))</f>
        <v>0</v>
      </c>
      <c r="Y6" s="17" t="str">
        <f>IFERROR(VLOOKUP(Template!$M6,Template!$D$3:$G$619,MATCH("EmployeeJobTitle",Template!$D$2:$G$2,0),FALSE),"NA")</f>
        <v>DIRETORA DE PRODUTO E ESTILO</v>
      </c>
      <c r="Z6" s="17" t="str">
        <f>IFERROR(VLOOKUP(Template!$M6,Template!$D$3:$G$619,MATCH("EmployeeGroup",Template!$D$2:$G$2,0),FALSE),"NA")</f>
        <v>Diretor</v>
      </c>
      <c r="AA6" s="17" t="str">
        <f>IFERROR(VLOOKUP(Template!$M6,Template!$D$3:$V$619,MATCH("Layer",Template!$D$2:$V$2,0),FALSE),"NA")</f>
        <v>N1</v>
      </c>
      <c r="AB6" s="21">
        <f>VLOOKUP(Template!$M6,Template!$D$3:$F$619,MATCH("InternalGrade",Template!$D$2:$F$2,0),FALSE)-Template!$F6</f>
        <v>8</v>
      </c>
      <c r="AC6" s="17">
        <f>IF(Template!$AB6&lt;=1, 0.8,IF(Template!$AB6=2,0.4,IF(Template!$AB6=3,0.2,IF(Template!$AB6=4,0.1,IF(Template!$AB6&gt;=5,0.05,"erro")))))</f>
        <v>0.05</v>
      </c>
      <c r="AD6" s="17" t="b">
        <f>Template!$D6=Template!$M6</f>
        <v>0</v>
      </c>
      <c r="AE6" s="12" t="s">
        <v>58</v>
      </c>
    </row>
    <row r="7">
      <c r="A7" s="7" t="s">
        <v>59</v>
      </c>
      <c r="B7" s="7" t="s">
        <v>75</v>
      </c>
      <c r="C7" s="7" t="s">
        <v>76</v>
      </c>
      <c r="D7" s="13">
        <v>24279.0</v>
      </c>
      <c r="E7" s="7" t="s">
        <v>77</v>
      </c>
      <c r="F7" s="13">
        <v>15.0</v>
      </c>
      <c r="G7" s="14" t="s">
        <v>63</v>
      </c>
      <c r="H7" s="7" t="s">
        <v>64</v>
      </c>
      <c r="I7" s="7" t="s">
        <v>65</v>
      </c>
      <c r="J7" s="7" t="s">
        <v>70</v>
      </c>
      <c r="K7" s="15">
        <v>45180.0</v>
      </c>
      <c r="L7" s="15">
        <v>36705.0</v>
      </c>
      <c r="M7" s="13">
        <v>24771.0</v>
      </c>
      <c r="N7" s="7">
        <v>4700.0</v>
      </c>
      <c r="O7" s="7"/>
      <c r="P7" s="7">
        <v>13.33</v>
      </c>
      <c r="Q7" s="7">
        <v>4700.0</v>
      </c>
      <c r="R7" s="20">
        <v>0.0</v>
      </c>
      <c r="S7" s="7"/>
      <c r="T7" s="20"/>
      <c r="U7" s="16">
        <f>SUM(Template!$N7:$O7)*Template!$P7+Template!$Q7</f>
        <v>67351</v>
      </c>
      <c r="V7" s="17" t="str">
        <f>IF(Template!$M7="CONSELHO","N",IF(Template!$AA7="N","N1",IF(Template!$AA7="N1","N2",IF(Template!$AA7="N2","N3",IF(Template!$AA7="N3","N4",IF(Template!$AA7="N4","N5",IF(Template!$AA7="N5","N6",IF(Template!$AA7="N6","N7",IF(Template!$AA7="N7","N8",IF(Template!$AA7="N8","N9",IF(Template!$AA7="N9","N10","NA")))))))))))</f>
        <v>N4</v>
      </c>
      <c r="W7" s="17">
        <f>COUNTIF(Template!$M$3:$M$619,Template!$D7)</f>
        <v>0</v>
      </c>
      <c r="X7" s="17">
        <f>IF(Template!$F7="","",SUMIF(Template!$M$3:$M$619,Template!$D7,Template!$AC$3:$AC$619))</f>
        <v>0</v>
      </c>
      <c r="Y7" s="17" t="str">
        <f>IFERROR(VLOOKUP(Template!$M7,Template!$D$3:$G$619,MATCH("EmployeeJobTitle",Template!$D$2:$G$2,0),FALSE),"NA")</f>
        <v>COORDENADOR DE MARKETING</v>
      </c>
      <c r="Z7" s="17" t="str">
        <f>IFERROR(VLOOKUP(Template!$M7,Template!$D$3:$G$619,MATCH("EmployeeGroup",Template!$D$2:$G$2,0),FALSE),"NA")</f>
        <v>Coordenador</v>
      </c>
      <c r="AA7" s="17" t="str">
        <f>IFERROR(VLOOKUP(Template!$M7,Template!$D$3:$V$619,MATCH("Layer",Template!$D$2:$V$2,0),FALSE),"NA")</f>
        <v>N3</v>
      </c>
      <c r="AB7" s="21">
        <f>VLOOKUP(Template!$M7,Template!$D$3:$F$619,MATCH("InternalGrade",Template!$D$2:$F$2,0),FALSE)-Template!$F7</f>
        <v>3</v>
      </c>
      <c r="AC7" s="17">
        <f>IF(Template!$AB7&lt;=1, 0.8,IF(Template!$AB7=2,0.4,IF(Template!$AB7=3,0.2,IF(Template!$AB7=4,0.1,IF(Template!$AB7&gt;=5,0.05,"erro")))))</f>
        <v>0.2</v>
      </c>
      <c r="AD7" s="17" t="b">
        <f>Template!$D7=Template!$M7</f>
        <v>0</v>
      </c>
      <c r="AE7" s="19" t="s">
        <v>58</v>
      </c>
    </row>
    <row r="8">
      <c r="A8" s="7" t="s">
        <v>59</v>
      </c>
      <c r="B8" s="7" t="s">
        <v>67</v>
      </c>
      <c r="C8" s="7" t="s">
        <v>68</v>
      </c>
      <c r="D8" s="13">
        <v>24029.0</v>
      </c>
      <c r="E8" s="7" t="s">
        <v>78</v>
      </c>
      <c r="F8" s="13">
        <v>18.0</v>
      </c>
      <c r="G8" s="14" t="s">
        <v>63</v>
      </c>
      <c r="H8" s="7" t="s">
        <v>64</v>
      </c>
      <c r="I8" s="7" t="s">
        <v>65</v>
      </c>
      <c r="J8" s="7" t="s">
        <v>70</v>
      </c>
      <c r="K8" s="15">
        <v>45061.0</v>
      </c>
      <c r="L8" s="15">
        <v>32492.0</v>
      </c>
      <c r="M8" s="13">
        <v>23265.0</v>
      </c>
      <c r="N8" s="7">
        <v>18153.33</v>
      </c>
      <c r="O8" s="7"/>
      <c r="P8" s="7">
        <v>13.33</v>
      </c>
      <c r="Q8" s="7">
        <v>18153.33</v>
      </c>
      <c r="R8" s="20">
        <v>0.0</v>
      </c>
      <c r="S8" s="7"/>
      <c r="T8" s="20"/>
      <c r="U8" s="16">
        <f>SUM(Template!$N8:$O8)*Template!$P8+Template!$Q8</f>
        <v>260137.2189</v>
      </c>
      <c r="V8" s="17" t="str">
        <f>IF(Template!$M8="CONSELHO","N",IF(Template!$AA8="N","N1",IF(Template!$AA8="N1","N2",IF(Template!$AA8="N2","N3",IF(Template!$AA8="N3","N4",IF(Template!$AA8="N4","N5",IF(Template!$AA8="N5","N6",IF(Template!$AA8="N6","N7",IF(Template!$AA8="N7","N8",IF(Template!$AA8="N8","N9",IF(Template!$AA8="N9","N10","NA")))))))))))</f>
        <v>N2</v>
      </c>
      <c r="W8" s="17">
        <f>COUNTIF(Template!$M$3:$M$619,Template!$D8)</f>
        <v>0</v>
      </c>
      <c r="X8" s="17">
        <f>IF(Template!$F8="","",SUMIF(Template!$M$3:$M$619,Template!$D8,Template!$AC$3:$AC$619))</f>
        <v>0</v>
      </c>
      <c r="Y8" s="17" t="str">
        <f>IFERROR(VLOOKUP(Template!$M8,Template!$D$3:$G$619,MATCH("EmployeeJobTitle",Template!$D$2:$G$2,0),FALSE),"NA")</f>
        <v>DIRETORA DE PRODUTO E ESTILO</v>
      </c>
      <c r="Z8" s="17" t="str">
        <f>IFERROR(VLOOKUP(Template!$M8,Template!$D$3:$G$619,MATCH("EmployeeGroup",Template!$D$2:$G$2,0),FALSE),"NA")</f>
        <v>Diretor</v>
      </c>
      <c r="AA8" s="17" t="str">
        <f>IFERROR(VLOOKUP(Template!$M8,Template!$D$3:$V$619,MATCH("Layer",Template!$D$2:$V$2,0),FALSE),"NA")</f>
        <v>N1</v>
      </c>
      <c r="AB8" s="21">
        <f>VLOOKUP(Template!$M8,Template!$D$3:$F$619,MATCH("InternalGrade",Template!$D$2:$F$2,0),FALSE)-Template!$F8</f>
        <v>3</v>
      </c>
      <c r="AC8" s="17">
        <f>IF(Template!$AB8&lt;=1, 0.8,IF(Template!$AB8=2,0.4,IF(Template!$AB8=3,0.2,IF(Template!$AB8=4,0.1,IF(Template!$AB8&gt;=5,0.05,"erro")))))</f>
        <v>0.2</v>
      </c>
      <c r="AD8" s="17" t="b">
        <f>Template!$D8=Template!$M8</f>
        <v>0</v>
      </c>
      <c r="AE8" s="12" t="s">
        <v>58</v>
      </c>
    </row>
    <row r="9">
      <c r="A9" s="7" t="s">
        <v>59</v>
      </c>
      <c r="B9" s="7" t="s">
        <v>60</v>
      </c>
      <c r="C9" s="7" t="s">
        <v>61</v>
      </c>
      <c r="D9" s="13">
        <v>20506.0</v>
      </c>
      <c r="E9" s="7" t="s">
        <v>79</v>
      </c>
      <c r="F9" s="13">
        <v>14.0</v>
      </c>
      <c r="G9" s="14" t="s">
        <v>63</v>
      </c>
      <c r="H9" s="7" t="s">
        <v>64</v>
      </c>
      <c r="I9" s="7" t="s">
        <v>65</v>
      </c>
      <c r="J9" s="7" t="s">
        <v>66</v>
      </c>
      <c r="K9" s="15">
        <v>44676.0</v>
      </c>
      <c r="L9" s="15">
        <v>32125.0</v>
      </c>
      <c r="M9" s="13">
        <v>23251.0</v>
      </c>
      <c r="N9" s="7">
        <v>4308.0</v>
      </c>
      <c r="O9" s="7"/>
      <c r="P9" s="7">
        <v>13.33</v>
      </c>
      <c r="Q9" s="7">
        <v>4308.0</v>
      </c>
      <c r="R9" s="20">
        <v>0.0</v>
      </c>
      <c r="S9" s="7"/>
      <c r="T9" s="20"/>
      <c r="U9" s="16">
        <f>SUM(Template!$N9:$O9)*Template!$P9+Template!$Q9</f>
        <v>61733.64</v>
      </c>
      <c r="V9" s="17" t="str">
        <f>IF(Template!$M9="CONSELHO","N",IF(Template!$AA9="N","N1",IF(Template!$AA9="N1","N2",IF(Template!$AA9="N2","N3",IF(Template!$AA9="N3","N4",IF(Template!$AA9="N4","N5",IF(Template!$AA9="N5","N6",IF(Template!$AA9="N6","N7",IF(Template!$AA9="N7","N8",IF(Template!$AA9="N8","N9",IF(Template!$AA9="N9","N10","NA")))))))))))</f>
        <v>N3</v>
      </c>
      <c r="W9" s="17">
        <f>COUNTIF(Template!$M$3:$M$619,Template!$D9)</f>
        <v>0</v>
      </c>
      <c r="X9" s="17">
        <f>IF(Template!$F9="","",SUMIF(Template!$M$3:$M$619,Template!$D9,Template!$AC$3:$AC$619))</f>
        <v>0</v>
      </c>
      <c r="Y9" s="17" t="str">
        <f>IFERROR(VLOOKUP(Template!$M9,Template!$D$3:$G$619,MATCH("EmployeeJobTitle",Template!$D$2:$G$2,0),FALSE),"NA")</f>
        <v>GERENTE DE CONTROLADORIA</v>
      </c>
      <c r="Z9" s="17" t="str">
        <f>IFERROR(VLOOKUP(Template!$M9,Template!$D$3:$G$619,MATCH("EmployeeGroup",Template!$D$2:$G$2,0),FALSE),"NA")</f>
        <v>Gerente</v>
      </c>
      <c r="AA9" s="17" t="str">
        <f>IFERROR(VLOOKUP(Template!$M9,Template!$D$3:$V$619,MATCH("Layer",Template!$D$2:$V$2,0),FALSE),"NA")</f>
        <v>N2</v>
      </c>
      <c r="AB9" s="21">
        <f>VLOOKUP(Template!$M9,Template!$D$3:$F$619,MATCH("InternalGrade",Template!$D$2:$F$2,0),FALSE)-Template!$F9</f>
        <v>5</v>
      </c>
      <c r="AC9" s="17">
        <f>IF(Template!$AB9&lt;=1, 0.8,IF(Template!$AB9=2,0.4,IF(Template!$AB9=3,0.2,IF(Template!$AB9=4,0.1,IF(Template!$AB9&gt;=5,0.05,"erro")))))</f>
        <v>0.05</v>
      </c>
      <c r="AD9" s="17" t="b">
        <f>Template!$D9=Template!$M9</f>
        <v>0</v>
      </c>
      <c r="AE9" s="19" t="s">
        <v>58</v>
      </c>
    </row>
    <row r="10">
      <c r="A10" s="7" t="s">
        <v>59</v>
      </c>
      <c r="B10" s="7" t="s">
        <v>80</v>
      </c>
      <c r="C10" s="7" t="s">
        <v>81</v>
      </c>
      <c r="D10" s="13">
        <v>25396.0</v>
      </c>
      <c r="E10" s="7" t="s">
        <v>82</v>
      </c>
      <c r="F10" s="13">
        <v>15.0</v>
      </c>
      <c r="G10" s="14" t="s">
        <v>63</v>
      </c>
      <c r="H10" s="7" t="s">
        <v>64</v>
      </c>
      <c r="I10" s="7" t="s">
        <v>65</v>
      </c>
      <c r="J10" s="7" t="s">
        <v>66</v>
      </c>
      <c r="K10" s="15">
        <v>45558.0</v>
      </c>
      <c r="L10" s="15">
        <v>36033.0</v>
      </c>
      <c r="M10" s="13">
        <v>21878.0</v>
      </c>
      <c r="N10" s="7">
        <v>5250.0</v>
      </c>
      <c r="O10" s="7"/>
      <c r="P10" s="7">
        <v>13.33</v>
      </c>
      <c r="Q10" s="7">
        <v>5250.0</v>
      </c>
      <c r="R10" s="20">
        <v>0.0</v>
      </c>
      <c r="S10" s="7"/>
      <c r="T10" s="20"/>
      <c r="U10" s="16">
        <f>SUM(Template!$N10:$O10)*Template!$P10+Template!$Q10</f>
        <v>75232.5</v>
      </c>
      <c r="V10" s="17" t="str">
        <f>IF(Template!$M10="CONSELHO","N",IF(Template!$AA10="N","N1",IF(Template!$AA10="N1","N2",IF(Template!$AA10="N2","N3",IF(Template!$AA10="N3","N4",IF(Template!$AA10="N4","N5",IF(Template!$AA10="N5","N6",IF(Template!$AA10="N6","N7",IF(Template!$AA10="N7","N8",IF(Template!$AA10="N8","N9",IF(Template!$AA10="N9","N10","NA")))))))))))</f>
        <v>N4</v>
      </c>
      <c r="W10" s="17">
        <f>COUNTIF(Template!$M$3:$M$619,Template!$D10)</f>
        <v>0</v>
      </c>
      <c r="X10" s="17">
        <f>IF(Template!$F10="","",SUMIF(Template!$M$3:$M$619,Template!$D10,Template!$AC$3:$AC$619))</f>
        <v>0</v>
      </c>
      <c r="Y10" s="17" t="str">
        <f>IFERROR(VLOOKUP(Template!$M10,Template!$D$3:$G$619,MATCH("EmployeeJobTitle",Template!$D$2:$G$2,0),FALSE),"NA")</f>
        <v>COORDENADOR DE INTELIGÊNCIA COMERCIAL</v>
      </c>
      <c r="Z10" s="17" t="str">
        <f>IFERROR(VLOOKUP(Template!$M10,Template!$D$3:$G$619,MATCH("EmployeeGroup",Template!$D$2:$G$2,0),FALSE),"NA")</f>
        <v>Coordenador</v>
      </c>
      <c r="AA10" s="17" t="str">
        <f>IFERROR(VLOOKUP(Template!$M10,Template!$D$3:$V$619,MATCH("Layer",Template!$D$2:$V$2,0),FALSE),"NA")</f>
        <v>N3</v>
      </c>
      <c r="AB10" s="21">
        <f>VLOOKUP(Template!$M10,Template!$D$3:$F$619,MATCH("InternalGrade",Template!$D$2:$F$2,0),FALSE)-Template!$F10</f>
        <v>3</v>
      </c>
      <c r="AC10" s="17">
        <f>IF(Template!$AB10&lt;=1, 0.8,IF(Template!$AB10=2,0.4,IF(Template!$AB10=3,0.2,IF(Template!$AB10=4,0.1,IF(Template!$AB10&gt;=5,0.05,"erro")))))</f>
        <v>0.2</v>
      </c>
      <c r="AD10" s="17" t="b">
        <f>Template!$D10=Template!$M10</f>
        <v>0</v>
      </c>
      <c r="AE10" s="12" t="s">
        <v>58</v>
      </c>
    </row>
    <row r="11">
      <c r="A11" s="7" t="s">
        <v>59</v>
      </c>
      <c r="B11" s="7" t="s">
        <v>60</v>
      </c>
      <c r="C11" s="7" t="s">
        <v>61</v>
      </c>
      <c r="D11" s="13">
        <v>11517.0</v>
      </c>
      <c r="E11" s="7" t="s">
        <v>83</v>
      </c>
      <c r="F11" s="13">
        <v>16.0</v>
      </c>
      <c r="G11" s="14" t="s">
        <v>63</v>
      </c>
      <c r="H11" s="7" t="s">
        <v>64</v>
      </c>
      <c r="I11" s="7" t="s">
        <v>65</v>
      </c>
      <c r="J11" s="7" t="s">
        <v>70</v>
      </c>
      <c r="K11" s="15">
        <v>40980.0</v>
      </c>
      <c r="L11" s="15">
        <v>30568.0</v>
      </c>
      <c r="M11" s="13">
        <v>23251.0</v>
      </c>
      <c r="N11" s="7">
        <v>8802.0</v>
      </c>
      <c r="O11" s="7"/>
      <c r="P11" s="7">
        <v>13.33</v>
      </c>
      <c r="Q11" s="7">
        <v>8802.0</v>
      </c>
      <c r="R11" s="20">
        <v>0.0</v>
      </c>
      <c r="S11" s="7"/>
      <c r="T11" s="20"/>
      <c r="U11" s="16">
        <f>SUM(Template!$N11:$O11)*Template!$P11+Template!$Q11</f>
        <v>126132.66</v>
      </c>
      <c r="V11" s="17" t="str">
        <f>IF(Template!$M11="CONSELHO","N",IF(Template!$AA11="N","N1",IF(Template!$AA11="N1","N2",IF(Template!$AA11="N2","N3",IF(Template!$AA11="N3","N4",IF(Template!$AA11="N4","N5",IF(Template!$AA11="N5","N6",IF(Template!$AA11="N6","N7",IF(Template!$AA11="N7","N8",IF(Template!$AA11="N8","N9",IF(Template!$AA11="N9","N10","NA")))))))))))</f>
        <v>N3</v>
      </c>
      <c r="W11" s="17">
        <f>COUNTIF(Template!$M$3:$M$619,Template!$D11)</f>
        <v>0</v>
      </c>
      <c r="X11" s="17">
        <f>IF(Template!$F11="","",SUMIF(Template!$M$3:$M$619,Template!$D11,Template!$AC$3:$AC$619))</f>
        <v>0</v>
      </c>
      <c r="Y11" s="17" t="str">
        <f>IFERROR(VLOOKUP(Template!$M11,Template!$D$3:$G$619,MATCH("EmployeeJobTitle",Template!$D$2:$G$2,0),FALSE),"NA")</f>
        <v>GERENTE DE CONTROLADORIA</v>
      </c>
      <c r="Z11" s="17" t="str">
        <f>IFERROR(VLOOKUP(Template!$M11,Template!$D$3:$G$619,MATCH("EmployeeGroup",Template!$D$2:$G$2,0),FALSE),"NA")</f>
        <v>Gerente</v>
      </c>
      <c r="AA11" s="17" t="str">
        <f>IFERROR(VLOOKUP(Template!$M11,Template!$D$3:$V$619,MATCH("Layer",Template!$D$2:$V$2,0),FALSE),"NA")</f>
        <v>N2</v>
      </c>
      <c r="AB11" s="21">
        <f>VLOOKUP(Template!$M11,Template!$D$3:$F$619,MATCH("InternalGrade",Template!$D$2:$F$2,0),FALSE)-Template!$F11</f>
        <v>3</v>
      </c>
      <c r="AC11" s="17">
        <f>IF(Template!$AB11&lt;=1, 0.8,IF(Template!$AB11=2,0.4,IF(Template!$AB11=3,0.2,IF(Template!$AB11=4,0.1,IF(Template!$AB11&gt;=5,0.05,"erro")))))</f>
        <v>0.2</v>
      </c>
      <c r="AD11" s="17" t="b">
        <f>Template!$D11=Template!$M11</f>
        <v>0</v>
      </c>
      <c r="AE11" s="19" t="s">
        <v>58</v>
      </c>
    </row>
    <row r="12">
      <c r="A12" s="7" t="s">
        <v>59</v>
      </c>
      <c r="B12" s="7" t="s">
        <v>71</v>
      </c>
      <c r="C12" s="7" t="s">
        <v>84</v>
      </c>
      <c r="D12" s="13">
        <v>16889.0</v>
      </c>
      <c r="E12" s="7" t="s">
        <v>85</v>
      </c>
      <c r="F12" s="13"/>
      <c r="G12" s="14" t="s">
        <v>63</v>
      </c>
      <c r="H12" s="7" t="s">
        <v>64</v>
      </c>
      <c r="I12" s="7" t="s">
        <v>65</v>
      </c>
      <c r="J12" s="7" t="s">
        <v>70</v>
      </c>
      <c r="K12" s="15">
        <v>43264.0</v>
      </c>
      <c r="L12" s="15">
        <v>28361.0</v>
      </c>
      <c r="M12" s="13">
        <v>18566.0</v>
      </c>
      <c r="N12" s="7">
        <v>2021.0</v>
      </c>
      <c r="O12" s="7"/>
      <c r="P12" s="7">
        <v>13.33</v>
      </c>
      <c r="Q12" s="7">
        <v>2021.0</v>
      </c>
      <c r="R12" s="20">
        <v>0.0</v>
      </c>
      <c r="S12" s="7"/>
      <c r="T12" s="20"/>
      <c r="U12" s="16">
        <f>SUM(Template!$N12:$O12)*Template!$P12+Template!$Q12</f>
        <v>28960.93</v>
      </c>
      <c r="V12" s="17" t="str">
        <f>IF(Template!$M12="CONSELHO","N",IF(Template!$AA12="N","N1",IF(Template!$AA12="N1","N2",IF(Template!$AA12="N2","N3",IF(Template!$AA12="N3","N4",IF(Template!$AA12="N4","N5",IF(Template!$AA12="N5","N6",IF(Template!$AA12="N6","N7",IF(Template!$AA12="N7","N8",IF(Template!$AA12="N8","N9",IF(Template!$AA12="N9","N10","NA")))))))))))</f>
        <v>N3</v>
      </c>
      <c r="W12" s="17">
        <f>COUNTIF(Template!$M$3:$M$619,Template!$D12)</f>
        <v>0</v>
      </c>
      <c r="X12" s="17" t="str">
        <f>IF(Template!$F12="","",SUMIF(Template!$M$3:$M$619,Template!$D12,Template!$AC$3:$AC$619))</f>
        <v/>
      </c>
      <c r="Y12" s="17" t="str">
        <f>IFERROR(VLOOKUP(Template!$M12,Template!$D$3:$G$619,MATCH("EmployeeJobTitle",Template!$D$2:$G$2,0),FALSE),"NA")</f>
        <v>COORDENADOR DE COMPRAS</v>
      </c>
      <c r="Z12" s="17" t="str">
        <f>IFERROR(VLOOKUP(Template!$M12,Template!$D$3:$G$619,MATCH("EmployeeGroup",Template!$D$2:$G$2,0),FALSE),"NA")</f>
        <v>Coordenador</v>
      </c>
      <c r="AA12" s="17" t="str">
        <f>IFERROR(VLOOKUP(Template!$M12,Template!$D$3:$V$619,MATCH("Layer",Template!$D$2:$V$2,0),FALSE),"NA")</f>
        <v>N2</v>
      </c>
      <c r="AB12" s="21">
        <f>VLOOKUP(Template!$M12,Template!$D$3:$F$619,MATCH("InternalGrade",Template!$D$2:$F$2,0),FALSE)-Template!$F12</f>
        <v>18</v>
      </c>
      <c r="AC12" s="17">
        <f>IF(Template!$AB12&lt;=1, 0.8,IF(Template!$AB12=2,0.4,IF(Template!$AB12=3,0.2,IF(Template!$AB12=4,0.1,IF(Template!$AB12&gt;=5,0.05,"erro")))))</f>
        <v>0.05</v>
      </c>
      <c r="AD12" s="17" t="b">
        <f>Template!$D12=Template!$M12</f>
        <v>0</v>
      </c>
      <c r="AE12" s="12" t="s">
        <v>58</v>
      </c>
    </row>
    <row r="13">
      <c r="A13" s="7" t="s">
        <v>59</v>
      </c>
      <c r="B13" s="7" t="s">
        <v>75</v>
      </c>
      <c r="C13" s="7" t="s">
        <v>76</v>
      </c>
      <c r="D13" s="13">
        <v>24771.0</v>
      </c>
      <c r="E13" s="7" t="s">
        <v>86</v>
      </c>
      <c r="F13" s="13">
        <v>18.0</v>
      </c>
      <c r="G13" s="22" t="s">
        <v>87</v>
      </c>
      <c r="H13" s="7" t="s">
        <v>64</v>
      </c>
      <c r="I13" s="7" t="s">
        <v>65</v>
      </c>
      <c r="J13" s="7" t="s">
        <v>70</v>
      </c>
      <c r="K13" s="15">
        <v>45271.0</v>
      </c>
      <c r="L13" s="15">
        <v>33392.0</v>
      </c>
      <c r="M13" s="13">
        <v>23263.0</v>
      </c>
      <c r="N13" s="7">
        <v>13000.0</v>
      </c>
      <c r="O13" s="7"/>
      <c r="P13" s="7">
        <v>13.33</v>
      </c>
      <c r="Q13" s="7">
        <v>19500.0</v>
      </c>
      <c r="R13" s="20">
        <v>0.0</v>
      </c>
      <c r="S13" s="7"/>
      <c r="T13" s="20"/>
      <c r="U13" s="16">
        <f>SUM(Template!$N13:$O13)*Template!$P13+Template!$Q13</f>
        <v>192790</v>
      </c>
      <c r="V13" s="17" t="str">
        <f>IF(Template!$M13="CONSELHO","N",IF(Template!$AA13="N","N1",IF(Template!$AA13="N1","N2",IF(Template!$AA13="N2","N3",IF(Template!$AA13="N3","N4",IF(Template!$AA13="N4","N5",IF(Template!$AA13="N5","N6",IF(Template!$AA13="N6","N7",IF(Template!$AA13="N7","N8",IF(Template!$AA13="N8","N9",IF(Template!$AA13="N9","N10","NA")))))))))))</f>
        <v>N3</v>
      </c>
      <c r="W13" s="17">
        <f>COUNTIF(Template!$M$3:$M$619,Template!$D13)</f>
        <v>6</v>
      </c>
      <c r="X13" s="17">
        <f>IF(Template!$F13="","",SUMIF(Template!$M$3:$M$619,Template!$D13,Template!$AC$3:$AC$619))</f>
        <v>1.25</v>
      </c>
      <c r="Y13" s="17" t="str">
        <f>IFERROR(VLOOKUP(Template!$M13,Template!$D$3:$G$619,MATCH("EmployeeJobTitle",Template!$D$2:$G$2,0),FALSE),"NA")</f>
        <v>GERENTE DE MARKETING</v>
      </c>
      <c r="Z13" s="17" t="str">
        <f>IFERROR(VLOOKUP(Template!$M13,Template!$D$3:$G$619,MATCH("EmployeeGroup",Template!$D$2:$G$2,0),FALSE),"NA")</f>
        <v>Gerente</v>
      </c>
      <c r="AA13" s="17" t="str">
        <f>IFERROR(VLOOKUP(Template!$M13,Template!$D$3:$V$619,MATCH("Layer",Template!$D$2:$V$2,0),FALSE),"NA")</f>
        <v>N2</v>
      </c>
      <c r="AB13" s="21">
        <f>VLOOKUP(Template!$M13,Template!$D$3:$F$619,MATCH("InternalGrade",Template!$D$2:$F$2,0),FALSE)-Template!$F13</f>
        <v>1</v>
      </c>
      <c r="AC13" s="17">
        <f>IF(Template!$AB13&lt;=1, 0.8,IF(Template!$AB13=2,0.4,IF(Template!$AB13=3,0.2,IF(Template!$AB13=4,0.1,IF(Template!$AB13&gt;=5,0.05,"erro")))))</f>
        <v>0.8</v>
      </c>
      <c r="AD13" s="17" t="b">
        <f>Template!$D13=Template!$M13</f>
        <v>0</v>
      </c>
      <c r="AE13" s="12" t="s">
        <v>58</v>
      </c>
    </row>
    <row r="14">
      <c r="A14" s="7" t="s">
        <v>59</v>
      </c>
      <c r="B14" s="7" t="s">
        <v>80</v>
      </c>
      <c r="C14" s="7" t="s">
        <v>81</v>
      </c>
      <c r="D14" s="13">
        <v>21878.0</v>
      </c>
      <c r="E14" s="7" t="s">
        <v>88</v>
      </c>
      <c r="F14" s="13">
        <v>18.0</v>
      </c>
      <c r="G14" s="22" t="s">
        <v>87</v>
      </c>
      <c r="H14" s="7" t="s">
        <v>64</v>
      </c>
      <c r="I14" s="7" t="s">
        <v>65</v>
      </c>
      <c r="J14" s="7" t="s">
        <v>70</v>
      </c>
      <c r="K14" s="15">
        <v>44825.0</v>
      </c>
      <c r="L14" s="15">
        <v>32316.0</v>
      </c>
      <c r="M14" s="13">
        <v>23260.0</v>
      </c>
      <c r="N14" s="7">
        <v>12606.0</v>
      </c>
      <c r="O14" s="7"/>
      <c r="P14" s="7">
        <v>13.33</v>
      </c>
      <c r="Q14" s="7">
        <v>18909.0</v>
      </c>
      <c r="R14" s="20">
        <v>0.0</v>
      </c>
      <c r="S14" s="7"/>
      <c r="T14" s="20"/>
      <c r="U14" s="16">
        <f>SUM(Template!$N14:$O14)*Template!$P14+Template!$Q14</f>
        <v>186946.98</v>
      </c>
      <c r="V14" s="17" t="str">
        <f>IF(Template!$M14="CONSELHO","N",IF(Template!$AA14="N","N1",IF(Template!$AA14="N1","N2",IF(Template!$AA14="N2","N3",IF(Template!$AA14="N3","N4",IF(Template!$AA14="N4","N5",IF(Template!$AA14="N5","N6",IF(Template!$AA14="N6","N7",IF(Template!$AA14="N7","N8",IF(Template!$AA14="N8","N9",IF(Template!$AA14="N9","N10","NA")))))))))))</f>
        <v>N3</v>
      </c>
      <c r="W14" s="17">
        <f>COUNTIF(Template!$M$3:$M$619,Template!$D14)</f>
        <v>2</v>
      </c>
      <c r="X14" s="17">
        <f>IF(Template!$F14="","",SUMIF(Template!$M$3:$M$619,Template!$D14,Template!$AC$3:$AC$619))</f>
        <v>0.4</v>
      </c>
      <c r="Y14" s="17" t="str">
        <f>IFERROR(VLOOKUP(Template!$M14,Template!$D$3:$G$619,MATCH("EmployeeJobTitle",Template!$D$2:$G$2,0),FALSE),"NA")</f>
        <v>GERENTE PLANEJAMENTO ESTRATEGICO</v>
      </c>
      <c r="Z14" s="17" t="str">
        <f>IFERROR(VLOOKUP(Template!$M14,Template!$D$3:$G$619,MATCH("EmployeeGroup",Template!$D$2:$G$2,0),FALSE),"NA")</f>
        <v>Gerente</v>
      </c>
      <c r="AA14" s="17" t="str">
        <f>IFERROR(VLOOKUP(Template!$M14,Template!$D$3:$V$619,MATCH("Layer",Template!$D$2:$V$2,0),FALSE),"NA")</f>
        <v>N2</v>
      </c>
      <c r="AB14" s="21">
        <f>VLOOKUP(Template!$M14,Template!$D$3:$F$619,MATCH("InternalGrade",Template!$D$2:$F$2,0),FALSE)-Template!$F14</f>
        <v>0</v>
      </c>
      <c r="AC14" s="17">
        <f>IF(Template!$AB14&lt;=1, 0.8,IF(Template!$AB14=2,0.4,IF(Template!$AB14=3,0.2,IF(Template!$AB14=4,0.1,IF(Template!$AB14&gt;=5,0.05,"erro")))))</f>
        <v>0.8</v>
      </c>
      <c r="AD14" s="17" t="b">
        <f>Template!$D14=Template!$M14</f>
        <v>0</v>
      </c>
      <c r="AE14" s="12" t="s">
        <v>58</v>
      </c>
    </row>
    <row r="15">
      <c r="A15" s="7" t="s">
        <v>59</v>
      </c>
      <c r="B15" s="7" t="s">
        <v>75</v>
      </c>
      <c r="C15" s="7" t="s">
        <v>89</v>
      </c>
      <c r="D15" s="13">
        <v>24390.0</v>
      </c>
      <c r="E15" s="7" t="s">
        <v>90</v>
      </c>
      <c r="F15" s="13">
        <v>14.0</v>
      </c>
      <c r="G15" s="14" t="s">
        <v>63</v>
      </c>
      <c r="H15" s="7" t="s">
        <v>64</v>
      </c>
      <c r="I15" s="7" t="s">
        <v>65</v>
      </c>
      <c r="J15" s="7" t="s">
        <v>70</v>
      </c>
      <c r="K15" s="15">
        <v>45222.0</v>
      </c>
      <c r="L15" s="15">
        <v>30265.0</v>
      </c>
      <c r="M15" s="13">
        <v>23266.0</v>
      </c>
      <c r="N15" s="7">
        <v>5000.0</v>
      </c>
      <c r="O15" s="7"/>
      <c r="P15" s="7">
        <v>13.33</v>
      </c>
      <c r="Q15" s="7">
        <v>5000.0</v>
      </c>
      <c r="R15" s="20">
        <v>0.0</v>
      </c>
      <c r="S15" s="7"/>
      <c r="T15" s="20"/>
      <c r="U15" s="16">
        <f>SUM(Template!$N15:$O15)*Template!$P15+Template!$Q15</f>
        <v>71650</v>
      </c>
      <c r="V15" s="17" t="str">
        <f>IF(Template!$M15="CONSELHO","N",IF(Template!$AA15="N","N1",IF(Template!$AA15="N1","N2",IF(Template!$AA15="N2","N3",IF(Template!$AA15="N3","N4",IF(Template!$AA15="N4","N5",IF(Template!$AA15="N5","N6",IF(Template!$AA15="N6","N7",IF(Template!$AA15="N7","N8",IF(Template!$AA15="N8","N9",IF(Template!$AA15="N9","N10","NA")))))))))))</f>
        <v>N3</v>
      </c>
      <c r="W15" s="17">
        <f>COUNTIF(Template!$M$3:$M$619,Template!$D15)</f>
        <v>0</v>
      </c>
      <c r="X15" s="17">
        <f>IF(Template!$F15="","",SUMIF(Template!$M$3:$M$619,Template!$D15,Template!$AC$3:$AC$619))</f>
        <v>0</v>
      </c>
      <c r="Y15" s="17" t="str">
        <f>IFERROR(VLOOKUP(Template!$M15,Template!$D$3:$G$619,MATCH("EmployeeJobTitle",Template!$D$2:$G$2,0),FALSE),"NA")</f>
        <v>GERENTE DE VM</v>
      </c>
      <c r="Z15" s="17" t="str">
        <f>IFERROR(VLOOKUP(Template!$M15,Template!$D$3:$G$619,MATCH("EmployeeGroup",Template!$D$2:$G$2,0),FALSE),"NA")</f>
        <v>Gerente</v>
      </c>
      <c r="AA15" s="17" t="str">
        <f>IFERROR(VLOOKUP(Template!$M15,Template!$D$3:$V$619,MATCH("Layer",Template!$D$2:$V$2,0),FALSE),"NA")</f>
        <v>N2</v>
      </c>
      <c r="AB15" s="21">
        <f>VLOOKUP(Template!$M15,Template!$D$3:$F$619,MATCH("InternalGrade",Template!$D$2:$F$2,0),FALSE)-Template!$F15</f>
        <v>5</v>
      </c>
      <c r="AC15" s="17">
        <f>IF(Template!$AB15&lt;=1, 0.8,IF(Template!$AB15=2,0.4,IF(Template!$AB15=3,0.2,IF(Template!$AB15=4,0.1,IF(Template!$AB15&gt;=5,0.05,"erro")))))</f>
        <v>0.05</v>
      </c>
      <c r="AD15" s="17" t="b">
        <f>Template!$D15=Template!$M15</f>
        <v>0</v>
      </c>
      <c r="AE15" s="12" t="s">
        <v>58</v>
      </c>
    </row>
    <row r="16">
      <c r="A16" s="7" t="s">
        <v>59</v>
      </c>
      <c r="B16" s="7" t="s">
        <v>91</v>
      </c>
      <c r="C16" s="7" t="s">
        <v>91</v>
      </c>
      <c r="D16" s="13">
        <v>24838.0</v>
      </c>
      <c r="E16" s="7" t="s">
        <v>92</v>
      </c>
      <c r="F16" s="13">
        <v>15.0</v>
      </c>
      <c r="G16" s="14" t="s">
        <v>63</v>
      </c>
      <c r="H16" s="7" t="s">
        <v>64</v>
      </c>
      <c r="I16" s="7" t="s">
        <v>65</v>
      </c>
      <c r="J16" s="7" t="s">
        <v>66</v>
      </c>
      <c r="K16" s="15">
        <v>45323.0</v>
      </c>
      <c r="L16" s="15">
        <v>35061.0</v>
      </c>
      <c r="M16" s="13">
        <v>25348.0</v>
      </c>
      <c r="N16" s="7">
        <v>4532.0</v>
      </c>
      <c r="O16" s="7"/>
      <c r="P16" s="7">
        <v>13.33</v>
      </c>
      <c r="Q16" s="7">
        <v>4532.0</v>
      </c>
      <c r="R16" s="20">
        <v>0.0</v>
      </c>
      <c r="S16" s="7"/>
      <c r="T16" s="20"/>
      <c r="U16" s="16">
        <f>SUM(Template!$N16:$O16)*Template!$P16+Template!$Q16</f>
        <v>64943.56</v>
      </c>
      <c r="V16" s="17" t="str">
        <f>IF(Template!$M16="CONSELHO","N",IF(Template!$AA16="N","N1",IF(Template!$AA16="N1","N2",IF(Template!$AA16="N2","N3",IF(Template!$AA16="N3","N4",IF(Template!$AA16="N4","N5",IF(Template!$AA16="N5","N6",IF(Template!$AA16="N6","N7",IF(Template!$AA16="N7","N8",IF(Template!$AA16="N8","N9",IF(Template!$AA16="N9","N10","NA")))))))))))</f>
        <v>N3</v>
      </c>
      <c r="W16" s="17">
        <f>COUNTIF(Template!$M$3:$M$619,Template!$D16)</f>
        <v>0</v>
      </c>
      <c r="X16" s="17">
        <f>IF(Template!$F16="","",SUMIF(Template!$M$3:$M$619,Template!$D16,Template!$AC$3:$AC$619))</f>
        <v>0</v>
      </c>
      <c r="Y16" s="17" t="str">
        <f>IFERROR(VLOOKUP(Template!$M16,Template!$D$3:$G$619,MATCH("EmployeeJobTitle",Template!$D$2:$G$2,0),FALSE),"NA")</f>
        <v>COORDENADOR DE TI</v>
      </c>
      <c r="Z16" s="17" t="str">
        <f>IFERROR(VLOOKUP(Template!$M16,Template!$D$3:$G$619,MATCH("EmployeeGroup",Template!$D$2:$G$2,0),FALSE),"NA")</f>
        <v>Coordenador</v>
      </c>
      <c r="AA16" s="17" t="str">
        <f>IFERROR(VLOOKUP(Template!$M16,Template!$D$3:$V$619,MATCH("Layer",Template!$D$2:$V$2,0),FALSE),"NA")</f>
        <v>N2</v>
      </c>
      <c r="AB16" s="21">
        <f>VLOOKUP(Template!$M16,Template!$D$3:$F$619,MATCH("InternalGrade",Template!$D$2:$F$2,0),FALSE)-Template!$F16</f>
        <v>3</v>
      </c>
      <c r="AC16" s="17">
        <f>IF(Template!$AB16&lt;=1, 0.8,IF(Template!$AB16=2,0.4,IF(Template!$AB16=3,0.2,IF(Template!$AB16=4,0.1,IF(Template!$AB16&gt;=5,0.05,"erro")))))</f>
        <v>0.2</v>
      </c>
      <c r="AD16" s="17" t="b">
        <f>Template!$D16=Template!$M16</f>
        <v>0</v>
      </c>
      <c r="AE16" s="12" t="s">
        <v>58</v>
      </c>
    </row>
    <row r="17">
      <c r="A17" s="7" t="s">
        <v>59</v>
      </c>
      <c r="B17" s="7" t="s">
        <v>71</v>
      </c>
      <c r="C17" s="7" t="s">
        <v>72</v>
      </c>
      <c r="D17" s="13">
        <v>18792.0</v>
      </c>
      <c r="E17" s="7" t="s">
        <v>93</v>
      </c>
      <c r="F17" s="13">
        <v>17.0</v>
      </c>
      <c r="G17" s="22" t="s">
        <v>87</v>
      </c>
      <c r="H17" s="7" t="s">
        <v>64</v>
      </c>
      <c r="I17" s="7" t="s">
        <v>65</v>
      </c>
      <c r="J17" s="7" t="s">
        <v>70</v>
      </c>
      <c r="K17" s="15">
        <v>44123.0</v>
      </c>
      <c r="L17" s="15">
        <v>33722.0</v>
      </c>
      <c r="M17" s="13">
        <v>14021.0</v>
      </c>
      <c r="N17" s="7">
        <v>11105.53</v>
      </c>
      <c r="O17" s="7"/>
      <c r="P17" s="7">
        <v>13.33</v>
      </c>
      <c r="Q17" s="7">
        <v>16658.295000000002</v>
      </c>
      <c r="R17" s="20">
        <v>0.0</v>
      </c>
      <c r="S17" s="7"/>
      <c r="T17" s="20"/>
      <c r="U17" s="16">
        <f>SUM(Template!$N17:$O17)*Template!$P17+Template!$Q17</f>
        <v>164695.0099</v>
      </c>
      <c r="V17" s="17" t="str">
        <f>IF(Template!$M17="CONSELHO","N",IF(Template!$AA17="N","N1",IF(Template!$AA17="N1","N2",IF(Template!$AA17="N2","N3",IF(Template!$AA17="N3","N4",IF(Template!$AA17="N4","N5",IF(Template!$AA17="N5","N6",IF(Template!$AA17="N6","N7",IF(Template!$AA17="N7","N8",IF(Template!$AA17="N8","N9",IF(Template!$AA17="N9","N10","NA")))))))))))</f>
        <v>N3</v>
      </c>
      <c r="W17" s="17">
        <f>COUNTIF(Template!$M$3:$M$619,Template!$D17)</f>
        <v>5</v>
      </c>
      <c r="X17" s="17">
        <f>IF(Template!$F17="","",SUMIF(Template!$M$3:$M$619,Template!$D17,Template!$AC$3:$AC$619))</f>
        <v>1.8</v>
      </c>
      <c r="Y17" s="17" t="str">
        <f>IFERROR(VLOOKUP(Template!$M17,Template!$D$3:$G$619,MATCH("EmployeeJobTitle",Template!$D$2:$G$2,0),FALSE),"NA")</f>
        <v>GERENTE DE PLANEJAMENTO</v>
      </c>
      <c r="Z17" s="17" t="str">
        <f>IFERROR(VLOOKUP(Template!$M17,Template!$D$3:$G$619,MATCH("EmployeeGroup",Template!$D$2:$G$2,0),FALSE),"NA")</f>
        <v>Gerente</v>
      </c>
      <c r="AA17" s="17" t="str">
        <f>IFERROR(VLOOKUP(Template!$M17,Template!$D$3:$V$619,MATCH("Layer",Template!$D$2:$V$2,0),FALSE),"NA")</f>
        <v>N2</v>
      </c>
      <c r="AB17" s="21">
        <f>VLOOKUP(Template!$M17,Template!$D$3:$F$619,MATCH("InternalGrade",Template!$D$2:$F$2,0),FALSE)-Template!$F17</f>
        <v>2</v>
      </c>
      <c r="AC17" s="17">
        <f>IF(Template!$AB17&lt;=1, 0.8,IF(Template!$AB17=2,0.4,IF(Template!$AB17=3,0.2,IF(Template!$AB17=4,0.1,IF(Template!$AB17&gt;=5,0.05,"erro")))))</f>
        <v>0.4</v>
      </c>
      <c r="AD17" s="17" t="b">
        <f>Template!$D17=Template!$M17</f>
        <v>0</v>
      </c>
      <c r="AE17" s="12" t="s">
        <v>58</v>
      </c>
    </row>
    <row r="18">
      <c r="A18" s="7" t="s">
        <v>59</v>
      </c>
      <c r="B18" s="7" t="s">
        <v>80</v>
      </c>
      <c r="C18" s="7" t="s">
        <v>94</v>
      </c>
      <c r="D18" s="13">
        <v>19402.0</v>
      </c>
      <c r="E18" s="7" t="s">
        <v>95</v>
      </c>
      <c r="F18" s="13">
        <v>12.0</v>
      </c>
      <c r="G18" s="14" t="s">
        <v>63</v>
      </c>
      <c r="H18" s="7" t="s">
        <v>64</v>
      </c>
      <c r="I18" s="7" t="s">
        <v>65</v>
      </c>
      <c r="J18" s="7" t="s">
        <v>70</v>
      </c>
      <c r="K18" s="15">
        <v>44245.0</v>
      </c>
      <c r="L18" s="15">
        <v>33607.0</v>
      </c>
      <c r="M18" s="13">
        <v>20450.0</v>
      </c>
      <c r="N18" s="7">
        <v>2455.0</v>
      </c>
      <c r="O18" s="7"/>
      <c r="P18" s="7">
        <v>13.33</v>
      </c>
      <c r="Q18" s="7">
        <v>2455.0</v>
      </c>
      <c r="R18" s="20">
        <v>0.0</v>
      </c>
      <c r="S18" s="7"/>
      <c r="T18" s="20"/>
      <c r="U18" s="16">
        <f>SUM(Template!$N18:$O18)*Template!$P18+Template!$Q18</f>
        <v>35180.15</v>
      </c>
      <c r="V18" s="17" t="str">
        <f>IF(Template!$M18="CONSELHO","N",IF(Template!$AA18="N","N1",IF(Template!$AA18="N1","N2",IF(Template!$AA18="N2","N3",IF(Template!$AA18="N3","N4",IF(Template!$AA18="N4","N5",IF(Template!$AA18="N5","N6",IF(Template!$AA18="N6","N7",IF(Template!$AA18="N7","N8",IF(Template!$AA18="N8","N9",IF(Template!$AA18="N9","N10","NA")))))))))))</f>
        <v>N3</v>
      </c>
      <c r="W18" s="17">
        <f>COUNTIF(Template!$M$3:$M$619,Template!$D18)</f>
        <v>0</v>
      </c>
      <c r="X18" s="17">
        <f>IF(Template!$F18="","",SUMIF(Template!$M$3:$M$619,Template!$D18,Template!$AC$3:$AC$619))</f>
        <v>0</v>
      </c>
      <c r="Y18" s="17" t="str">
        <f>IFERROR(VLOOKUP(Template!$M18,Template!$D$3:$G$619,MATCH("EmployeeJobTitle",Template!$D$2:$G$2,0),FALSE),"NA")</f>
        <v>COORDENADOR DE ECOMMERCE</v>
      </c>
      <c r="Z18" s="17" t="str">
        <f>IFERROR(VLOOKUP(Template!$M18,Template!$D$3:$G$619,MATCH("EmployeeGroup",Template!$D$2:$G$2,0),FALSE),"NA")</f>
        <v>Coordenador</v>
      </c>
      <c r="AA18" s="17" t="str">
        <f>IFERROR(VLOOKUP(Template!$M18,Template!$D$3:$V$619,MATCH("Layer",Template!$D$2:$V$2,0),FALSE),"NA")</f>
        <v>N2</v>
      </c>
      <c r="AB18" s="21">
        <f>VLOOKUP(Template!$M18,Template!$D$3:$F$619,MATCH("InternalGrade",Template!$D$2:$F$2,0),FALSE)-Template!$F18</f>
        <v>6</v>
      </c>
      <c r="AC18" s="17">
        <f>IF(Template!$AB18&lt;=1, 0.8,IF(Template!$AB18=2,0.4,IF(Template!$AB18=3,0.2,IF(Template!$AB18=4,0.1,IF(Template!$AB18&gt;=5,0.05,"erro")))))</f>
        <v>0.05</v>
      </c>
      <c r="AD18" s="17" t="b">
        <f>Template!$D18=Template!$M18</f>
        <v>0</v>
      </c>
      <c r="AE18" s="12" t="s">
        <v>58</v>
      </c>
    </row>
    <row r="19">
      <c r="A19" s="7" t="s">
        <v>59</v>
      </c>
      <c r="B19" s="7" t="s">
        <v>96</v>
      </c>
      <c r="C19" s="7" t="s">
        <v>97</v>
      </c>
      <c r="D19" s="13">
        <v>20505.0</v>
      </c>
      <c r="E19" s="7" t="s">
        <v>98</v>
      </c>
      <c r="F19" s="13">
        <v>18.0</v>
      </c>
      <c r="G19" s="22" t="s">
        <v>87</v>
      </c>
      <c r="H19" s="7" t="s">
        <v>64</v>
      </c>
      <c r="I19" s="7" t="s">
        <v>65</v>
      </c>
      <c r="J19" s="7" t="s">
        <v>66</v>
      </c>
      <c r="K19" s="15">
        <v>44676.0</v>
      </c>
      <c r="L19" s="15">
        <v>29995.0</v>
      </c>
      <c r="M19" s="13">
        <v>23262.0</v>
      </c>
      <c r="N19" s="7">
        <v>14085.0</v>
      </c>
      <c r="O19" s="7"/>
      <c r="P19" s="7">
        <v>13.33</v>
      </c>
      <c r="Q19" s="7">
        <v>21127.5</v>
      </c>
      <c r="R19" s="20">
        <v>0.0</v>
      </c>
      <c r="S19" s="7"/>
      <c r="T19" s="20"/>
      <c r="U19" s="16">
        <f>SUM(Template!$N19:$O19)*Template!$P19+Template!$Q19</f>
        <v>208880.55</v>
      </c>
      <c r="V19" s="17" t="str">
        <f>IF(Template!$M19="CONSELHO","N",IF(Template!$AA19="N","N1",IF(Template!$AA19="N1","N2",IF(Template!$AA19="N2","N3",IF(Template!$AA19="N3","N4",IF(Template!$AA19="N4","N5",IF(Template!$AA19="N5","N6",IF(Template!$AA19="N6","N7",IF(Template!$AA19="N7","N8",IF(Template!$AA19="N8","N9",IF(Template!$AA19="N9","N10","NA")))))))))))</f>
        <v>N2</v>
      </c>
      <c r="W19" s="17">
        <f>COUNTIF(Template!$M$3:$M$619,Template!$D19)</f>
        <v>1</v>
      </c>
      <c r="X19" s="17">
        <f>IF(Template!$F19="","",SUMIF(Template!$M$3:$M$619,Template!$D19,Template!$AC$3:$AC$619))</f>
        <v>0.05</v>
      </c>
      <c r="Y19" s="17" t="str">
        <f>IFERROR(VLOOKUP(Template!$M19,Template!$D$3:$G$619,MATCH("EmployeeJobTitle",Template!$D$2:$G$2,0),FALSE),"NA")</f>
        <v>DIRETORA DE RECURSOS HUMANOS</v>
      </c>
      <c r="Z19" s="17" t="str">
        <f>IFERROR(VLOOKUP(Template!$M19,Template!$D$3:$G$619,MATCH("EmployeeGroup",Template!$D$2:$G$2,0),FALSE),"NA")</f>
        <v>Diretor</v>
      </c>
      <c r="AA19" s="17" t="str">
        <f>IFERROR(VLOOKUP(Template!$M19,Template!$D$3:$V$619,MATCH("Layer",Template!$D$2:$V$2,0),FALSE),"NA")</f>
        <v>N1</v>
      </c>
      <c r="AB19" s="21">
        <f>VLOOKUP(Template!$M19,Template!$D$3:$F$619,MATCH("InternalGrade",Template!$D$2:$F$2,0),FALSE)-Template!$F19</f>
        <v>3</v>
      </c>
      <c r="AC19" s="17">
        <f>IF(Template!$AB19&lt;=1, 0.8,IF(Template!$AB19=2,0.4,IF(Template!$AB19=3,0.2,IF(Template!$AB19=4,0.1,IF(Template!$AB19&gt;=5,0.05,"erro")))))</f>
        <v>0.2</v>
      </c>
      <c r="AD19" s="17" t="b">
        <f>Template!$D19=Template!$M19</f>
        <v>0</v>
      </c>
      <c r="AE19" s="12" t="s">
        <v>58</v>
      </c>
    </row>
    <row r="20">
      <c r="A20" s="7" t="s">
        <v>59</v>
      </c>
      <c r="B20" s="7" t="s">
        <v>60</v>
      </c>
      <c r="C20" s="7" t="s">
        <v>99</v>
      </c>
      <c r="D20" s="13">
        <v>11398.0</v>
      </c>
      <c r="E20" s="7" t="s">
        <v>100</v>
      </c>
      <c r="F20" s="13">
        <v>18.0</v>
      </c>
      <c r="G20" s="22" t="s">
        <v>87</v>
      </c>
      <c r="H20" s="7" t="s">
        <v>64</v>
      </c>
      <c r="I20" s="7" t="s">
        <v>65</v>
      </c>
      <c r="J20" s="7" t="s">
        <v>66</v>
      </c>
      <c r="K20" s="15">
        <v>40931.0</v>
      </c>
      <c r="L20" s="15">
        <v>27620.0</v>
      </c>
      <c r="M20" s="13">
        <v>23251.0</v>
      </c>
      <c r="N20" s="7">
        <v>13444.0</v>
      </c>
      <c r="O20" s="7"/>
      <c r="P20" s="7">
        <v>13.33</v>
      </c>
      <c r="Q20" s="7">
        <v>20166.0</v>
      </c>
      <c r="R20" s="20">
        <v>0.0</v>
      </c>
      <c r="S20" s="7"/>
      <c r="T20" s="20"/>
      <c r="U20" s="16">
        <f>SUM(Template!$N20:$O20)*Template!$P20+Template!$Q20</f>
        <v>199374.52</v>
      </c>
      <c r="V20" s="17" t="str">
        <f>IF(Template!$M20="CONSELHO","N",IF(Template!$AA20="N","N1",IF(Template!$AA20="N1","N2",IF(Template!$AA20="N2","N3",IF(Template!$AA20="N3","N4",IF(Template!$AA20="N4","N5",IF(Template!$AA20="N5","N6",IF(Template!$AA20="N6","N7",IF(Template!$AA20="N7","N8",IF(Template!$AA20="N8","N9",IF(Template!$AA20="N9","N10","NA")))))))))))</f>
        <v>N3</v>
      </c>
      <c r="W20" s="17">
        <f>COUNTIF(Template!$M$3:$M$619,Template!$D20)</f>
        <v>4</v>
      </c>
      <c r="X20" s="17">
        <f>IF(Template!$F20="","",SUMIF(Template!$M$3:$M$619,Template!$D20,Template!$AC$3:$AC$619))</f>
        <v>1.05</v>
      </c>
      <c r="Y20" s="17" t="str">
        <f>IFERROR(VLOOKUP(Template!$M20,Template!$D$3:$G$619,MATCH("EmployeeJobTitle",Template!$D$2:$G$2,0),FALSE),"NA")</f>
        <v>GERENTE DE CONTROLADORIA</v>
      </c>
      <c r="Z20" s="17" t="str">
        <f>IFERROR(VLOOKUP(Template!$M20,Template!$D$3:$G$619,MATCH("EmployeeGroup",Template!$D$2:$G$2,0),FALSE),"NA")</f>
        <v>Gerente</v>
      </c>
      <c r="AA20" s="17" t="str">
        <f>IFERROR(VLOOKUP(Template!$M20,Template!$D$3:$V$619,MATCH("Layer",Template!$D$2:$V$2,0),FALSE),"NA")</f>
        <v>N2</v>
      </c>
      <c r="AB20" s="21">
        <f>VLOOKUP(Template!$M20,Template!$D$3:$F$619,MATCH("InternalGrade",Template!$D$2:$F$2,0),FALSE)-Template!$F20</f>
        <v>1</v>
      </c>
      <c r="AC20" s="17">
        <f>IF(Template!$AB20&lt;=1, 0.8,IF(Template!$AB20=2,0.4,IF(Template!$AB20=3,0.2,IF(Template!$AB20=4,0.1,IF(Template!$AB20&gt;=5,0.05,"erro")))))</f>
        <v>0.8</v>
      </c>
      <c r="AD20" s="17" t="b">
        <f>Template!$D20=Template!$M20</f>
        <v>0</v>
      </c>
      <c r="AE20" s="12" t="s">
        <v>58</v>
      </c>
    </row>
    <row r="21" ht="15.75" customHeight="1">
      <c r="A21" s="7" t="s">
        <v>59</v>
      </c>
      <c r="B21" s="7" t="s">
        <v>60</v>
      </c>
      <c r="C21" s="7" t="s">
        <v>61</v>
      </c>
      <c r="D21" s="13">
        <v>13338.0</v>
      </c>
      <c r="E21" s="7" t="s">
        <v>79</v>
      </c>
      <c r="F21" s="13">
        <v>14.0</v>
      </c>
      <c r="G21" s="14" t="s">
        <v>63</v>
      </c>
      <c r="H21" s="7" t="s">
        <v>64</v>
      </c>
      <c r="I21" s="7" t="s">
        <v>65</v>
      </c>
      <c r="J21" s="7" t="s">
        <v>70</v>
      </c>
      <c r="K21" s="15">
        <v>41730.0</v>
      </c>
      <c r="L21" s="15">
        <v>35335.0</v>
      </c>
      <c r="M21" s="13">
        <v>23251.0</v>
      </c>
      <c r="N21" s="7">
        <v>4146.0</v>
      </c>
      <c r="O21" s="7"/>
      <c r="P21" s="7">
        <v>13.33</v>
      </c>
      <c r="Q21" s="7">
        <v>4146.0</v>
      </c>
      <c r="R21" s="20">
        <v>0.0</v>
      </c>
      <c r="S21" s="7"/>
      <c r="T21" s="20"/>
      <c r="U21" s="16">
        <f>SUM(Template!$N21:$O21)*Template!$P21+Template!$Q21</f>
        <v>59412.18</v>
      </c>
      <c r="V21" s="17" t="str">
        <f>IF(Template!$M21="CONSELHO","N",IF(Template!$AA21="N","N1",IF(Template!$AA21="N1","N2",IF(Template!$AA21="N2","N3",IF(Template!$AA21="N3","N4",IF(Template!$AA21="N4","N5",IF(Template!$AA21="N5","N6",IF(Template!$AA21="N6","N7",IF(Template!$AA21="N7","N8",IF(Template!$AA21="N8","N9",IF(Template!$AA21="N9","N10","NA")))))))))))</f>
        <v>N3</v>
      </c>
      <c r="W21" s="17">
        <f>COUNTIF(Template!$M$3:$M$619,Template!$D21)</f>
        <v>0</v>
      </c>
      <c r="X21" s="17">
        <f>IF(Template!$F21="","",SUMIF(Template!$M$3:$M$619,Template!$D21,Template!$AC$3:$AC$619))</f>
        <v>0</v>
      </c>
      <c r="Y21" s="17" t="str">
        <f>IFERROR(VLOOKUP(Template!$M21,Template!$D$3:$G$619,MATCH("EmployeeJobTitle",Template!$D$2:$G$2,0),FALSE),"NA")</f>
        <v>GERENTE DE CONTROLADORIA</v>
      </c>
      <c r="Z21" s="17" t="str">
        <f>IFERROR(VLOOKUP(Template!$M21,Template!$D$3:$G$619,MATCH("EmployeeGroup",Template!$D$2:$G$2,0),FALSE),"NA")</f>
        <v>Gerente</v>
      </c>
      <c r="AA21" s="17" t="str">
        <f>IFERROR(VLOOKUP(Template!$M21,Template!$D$3:$V$619,MATCH("Layer",Template!$D$2:$V$2,0),FALSE),"NA")</f>
        <v>N2</v>
      </c>
      <c r="AB21" s="21">
        <f>VLOOKUP(Template!$M21,Template!$D$3:$F$619,MATCH("InternalGrade",Template!$D$2:$F$2,0),FALSE)-Template!$F21</f>
        <v>5</v>
      </c>
      <c r="AC21" s="17">
        <f>IF(Template!$AB21&lt;=1, 0.8,IF(Template!$AB21=2,0.4,IF(Template!$AB21=3,0.2,IF(Template!$AB21=4,0.1,IF(Template!$AB21&gt;=5,0.05,"erro")))))</f>
        <v>0.05</v>
      </c>
      <c r="AD21" s="17" t="b">
        <f>Template!$D21=Template!$M21</f>
        <v>0</v>
      </c>
      <c r="AE21" s="12" t="s">
        <v>58</v>
      </c>
    </row>
    <row r="22" ht="15.75" customHeight="1">
      <c r="A22" s="7" t="s">
        <v>59</v>
      </c>
      <c r="B22" s="7" t="s">
        <v>60</v>
      </c>
      <c r="C22" s="7" t="s">
        <v>101</v>
      </c>
      <c r="D22" s="13">
        <v>25223.0</v>
      </c>
      <c r="E22" s="7" t="s">
        <v>102</v>
      </c>
      <c r="F22" s="13">
        <v>13.0</v>
      </c>
      <c r="G22" s="14" t="s">
        <v>63</v>
      </c>
      <c r="H22" s="7" t="s">
        <v>64</v>
      </c>
      <c r="I22" s="7" t="s">
        <v>65</v>
      </c>
      <c r="J22" s="7" t="s">
        <v>70</v>
      </c>
      <c r="K22" s="15">
        <v>45495.0</v>
      </c>
      <c r="L22" s="15">
        <v>37426.0</v>
      </c>
      <c r="M22" s="13">
        <v>14066.0</v>
      </c>
      <c r="N22" s="7">
        <v>2800.0</v>
      </c>
      <c r="O22" s="7"/>
      <c r="P22" s="7">
        <v>13.33</v>
      </c>
      <c r="Q22" s="7">
        <v>2800.0</v>
      </c>
      <c r="R22" s="20">
        <v>0.0</v>
      </c>
      <c r="S22" s="7"/>
      <c r="T22" s="20"/>
      <c r="U22" s="16">
        <f>SUM(Template!$N22:$O22)*Template!$P22+Template!$Q22</f>
        <v>40124</v>
      </c>
      <c r="V22" s="17" t="str">
        <f>IF(Template!$M22="CONSELHO","N",IF(Template!$AA22="N","N1",IF(Template!$AA22="N1","N2",IF(Template!$AA22="N2","N3",IF(Template!$AA22="N3","N4",IF(Template!$AA22="N4","N5",IF(Template!$AA22="N5","N6",IF(Template!$AA22="N6","N7",IF(Template!$AA22="N7","N8",IF(Template!$AA22="N8","N9",IF(Template!$AA22="N9","N10","NA")))))))))))</f>
        <v>N3</v>
      </c>
      <c r="W22" s="17">
        <f>COUNTIF(Template!$M$3:$M$619,Template!$D22)</f>
        <v>0</v>
      </c>
      <c r="X22" s="17">
        <f>IF(Template!$F22="","",SUMIF(Template!$M$3:$M$619,Template!$D22,Template!$AC$3:$AC$619))</f>
        <v>0</v>
      </c>
      <c r="Y22" s="17" t="str">
        <f>IFERROR(VLOOKUP(Template!$M22,Template!$D$3:$G$619,MATCH("EmployeeJobTitle",Template!$D$2:$G$2,0),FALSE),"NA")</f>
        <v>GERENTE JURIDICO</v>
      </c>
      <c r="Z22" s="17" t="str">
        <f>IFERROR(VLOOKUP(Template!$M22,Template!$D$3:$G$619,MATCH("EmployeeGroup",Template!$D$2:$G$2,0),FALSE),"NA")</f>
        <v>Gerente</v>
      </c>
      <c r="AA22" s="17" t="str">
        <f>IFERROR(VLOOKUP(Template!$M22,Template!$D$3:$V$619,MATCH("Layer",Template!$D$2:$V$2,0),FALSE),"NA")</f>
        <v>N2</v>
      </c>
      <c r="AB22" s="21">
        <f>VLOOKUP(Template!$M22,Template!$D$3:$F$619,MATCH("InternalGrade",Template!$D$2:$F$2,0),FALSE)-Template!$F22</f>
        <v>6</v>
      </c>
      <c r="AC22" s="17">
        <f>IF(Template!$AB22&lt;=1, 0.8,IF(Template!$AB22=2,0.4,IF(Template!$AB22=3,0.2,IF(Template!$AB22=4,0.1,IF(Template!$AB22&gt;=5,0.05,"erro")))))</f>
        <v>0.05</v>
      </c>
      <c r="AD22" s="17" t="b">
        <f>Template!$D22=Template!$M22</f>
        <v>0</v>
      </c>
      <c r="AE22" s="12" t="s">
        <v>58</v>
      </c>
    </row>
    <row r="23" ht="15.75" customHeight="1">
      <c r="A23" s="7" t="s">
        <v>59</v>
      </c>
      <c r="B23" s="7" t="s">
        <v>80</v>
      </c>
      <c r="C23" s="7" t="s">
        <v>103</v>
      </c>
      <c r="D23" s="13">
        <v>24235.0</v>
      </c>
      <c r="E23" s="7" t="s">
        <v>104</v>
      </c>
      <c r="F23" s="13">
        <v>14.0</v>
      </c>
      <c r="G23" s="14" t="s">
        <v>63</v>
      </c>
      <c r="H23" s="7" t="s">
        <v>64</v>
      </c>
      <c r="I23" s="7" t="s">
        <v>65</v>
      </c>
      <c r="J23" s="7" t="s">
        <v>70</v>
      </c>
      <c r="K23" s="15">
        <v>45159.0</v>
      </c>
      <c r="L23" s="15">
        <v>34668.0</v>
      </c>
      <c r="M23" s="13">
        <v>25195.0</v>
      </c>
      <c r="N23" s="7">
        <v>3179.0</v>
      </c>
      <c r="O23" s="7"/>
      <c r="P23" s="7">
        <v>13.33</v>
      </c>
      <c r="Q23" s="7">
        <v>3179.0</v>
      </c>
      <c r="R23" s="20">
        <v>0.0</v>
      </c>
      <c r="S23" s="7"/>
      <c r="T23" s="20"/>
      <c r="U23" s="16">
        <f>SUM(Template!$N23:$O23)*Template!$P23+Template!$Q23</f>
        <v>45555.07</v>
      </c>
      <c r="V23" s="17" t="str">
        <f>IF(Template!$M23="CONSELHO","N",IF(Template!$AA23="N","N1",IF(Template!$AA23="N1","N2",IF(Template!$AA23="N2","N3",IF(Template!$AA23="N3","N4",IF(Template!$AA23="N4","N5",IF(Template!$AA23="N5","N6",IF(Template!$AA23="N6","N7",IF(Template!$AA23="N7","N8",IF(Template!$AA23="N8","N9",IF(Template!$AA23="N9","N10","NA")))))))))))</f>
        <v>N3</v>
      </c>
      <c r="W23" s="17">
        <f>COUNTIF(Template!$M$3:$M$619,Template!$D23)</f>
        <v>0</v>
      </c>
      <c r="X23" s="17">
        <f>IF(Template!$F23="","",SUMIF(Template!$M$3:$M$619,Template!$D23,Template!$AC$3:$AC$619))</f>
        <v>0</v>
      </c>
      <c r="Y23" s="17" t="str">
        <f>IFERROR(VLOOKUP(Template!$M23,Template!$D$3:$G$619,MATCH("EmployeeJobTitle",Template!$D$2:$G$2,0),FALSE),"NA")</f>
        <v>GERENTE DE EXPANSÃO, IMPLANTAÇÃO E PROJETOS</v>
      </c>
      <c r="Z23" s="17" t="str">
        <f>IFERROR(VLOOKUP(Template!$M23,Template!$D$3:$G$619,MATCH("EmployeeGroup",Template!$D$2:$G$2,0),FALSE),"NA")</f>
        <v>Gerente</v>
      </c>
      <c r="AA23" s="17" t="str">
        <f>IFERROR(VLOOKUP(Template!$M23,Template!$D$3:$V$619,MATCH("Layer",Template!$D$2:$V$2,0),FALSE),"NA")</f>
        <v>N2</v>
      </c>
      <c r="AB23" s="21">
        <f>VLOOKUP(Template!$M23,Template!$D$3:$F$619,MATCH("InternalGrade",Template!$D$2:$F$2,0),FALSE)-Template!$F23</f>
        <v>6</v>
      </c>
      <c r="AC23" s="17">
        <f>IF(Template!$AB23&lt;=1, 0.8,IF(Template!$AB23=2,0.4,IF(Template!$AB23=3,0.2,IF(Template!$AB23=4,0.1,IF(Template!$AB23&gt;=5,0.05,"erro")))))</f>
        <v>0.05</v>
      </c>
      <c r="AD23" s="17" t="b">
        <f>Template!$D23=Template!$M23</f>
        <v>0</v>
      </c>
      <c r="AE23" s="12" t="s">
        <v>58</v>
      </c>
    </row>
    <row r="24" ht="15.75" customHeight="1">
      <c r="A24" s="7" t="s">
        <v>59</v>
      </c>
      <c r="B24" s="7" t="s">
        <v>60</v>
      </c>
      <c r="C24" s="7" t="s">
        <v>101</v>
      </c>
      <c r="D24" s="13">
        <v>25379.0</v>
      </c>
      <c r="E24" s="7" t="s">
        <v>105</v>
      </c>
      <c r="F24" s="13">
        <v>15.0</v>
      </c>
      <c r="G24" s="14" t="s">
        <v>63</v>
      </c>
      <c r="H24" s="7" t="s">
        <v>64</v>
      </c>
      <c r="I24" s="7" t="s">
        <v>65</v>
      </c>
      <c r="J24" s="7" t="s">
        <v>66</v>
      </c>
      <c r="K24" s="15">
        <v>45551.0</v>
      </c>
      <c r="L24" s="15">
        <v>36327.0</v>
      </c>
      <c r="M24" s="13">
        <v>14066.0</v>
      </c>
      <c r="N24" s="7">
        <v>5200.0</v>
      </c>
      <c r="O24" s="7"/>
      <c r="P24" s="7">
        <v>13.33</v>
      </c>
      <c r="Q24" s="7">
        <v>5200.0</v>
      </c>
      <c r="R24" s="20">
        <v>0.0</v>
      </c>
      <c r="S24" s="7"/>
      <c r="T24" s="20"/>
      <c r="U24" s="16">
        <f>SUM(Template!$N24:$O24)*Template!$P24+Template!$Q24</f>
        <v>74516</v>
      </c>
      <c r="V24" s="17" t="str">
        <f>IF(Template!$M24="CONSELHO","N",IF(Template!$AA24="N","N1",IF(Template!$AA24="N1","N2",IF(Template!$AA24="N2","N3",IF(Template!$AA24="N3","N4",IF(Template!$AA24="N4","N5",IF(Template!$AA24="N5","N6",IF(Template!$AA24="N6","N7",IF(Template!$AA24="N7","N8",IF(Template!$AA24="N8","N9",IF(Template!$AA24="N9","N10","NA")))))))))))</f>
        <v>N3</v>
      </c>
      <c r="W24" s="17">
        <f>COUNTIF(Template!$M$3:$M$619,Template!$D24)</f>
        <v>0</v>
      </c>
      <c r="X24" s="17">
        <f>IF(Template!$F24="","",SUMIF(Template!$M$3:$M$619,Template!$D24,Template!$AC$3:$AC$619))</f>
        <v>0</v>
      </c>
      <c r="Y24" s="17" t="str">
        <f>IFERROR(VLOOKUP(Template!$M24,Template!$D$3:$G$619,MATCH("EmployeeJobTitle",Template!$D$2:$G$2,0),FALSE),"NA")</f>
        <v>GERENTE JURIDICO</v>
      </c>
      <c r="Z24" s="17" t="str">
        <f>IFERROR(VLOOKUP(Template!$M24,Template!$D$3:$G$619,MATCH("EmployeeGroup",Template!$D$2:$G$2,0),FALSE),"NA")</f>
        <v>Gerente</v>
      </c>
      <c r="AA24" s="17" t="str">
        <f>IFERROR(VLOOKUP(Template!$M24,Template!$D$3:$V$619,MATCH("Layer",Template!$D$2:$V$2,0),FALSE),"NA")</f>
        <v>N2</v>
      </c>
      <c r="AB24" s="21">
        <f>VLOOKUP(Template!$M24,Template!$D$3:$F$619,MATCH("InternalGrade",Template!$D$2:$F$2,0),FALSE)-Template!$F24</f>
        <v>4</v>
      </c>
      <c r="AC24" s="17">
        <f>IF(Template!$AB24&lt;=1, 0.8,IF(Template!$AB24=2,0.4,IF(Template!$AB24=3,0.2,IF(Template!$AB24=4,0.1,IF(Template!$AB24&gt;=5,0.05,"erro")))))</f>
        <v>0.1</v>
      </c>
      <c r="AD24" s="17" t="b">
        <f>Template!$D24=Template!$M24</f>
        <v>0</v>
      </c>
      <c r="AE24" s="12" t="s">
        <v>58</v>
      </c>
    </row>
    <row r="25" ht="15.75" customHeight="1">
      <c r="A25" s="7" t="s">
        <v>59</v>
      </c>
      <c r="B25" s="7" t="s">
        <v>75</v>
      </c>
      <c r="C25" s="7" t="s">
        <v>76</v>
      </c>
      <c r="D25" s="13">
        <v>20533.0</v>
      </c>
      <c r="E25" s="7" t="s">
        <v>106</v>
      </c>
      <c r="F25" s="13">
        <v>15.0</v>
      </c>
      <c r="G25" s="14" t="s">
        <v>63</v>
      </c>
      <c r="H25" s="7" t="s">
        <v>64</v>
      </c>
      <c r="I25" s="7" t="s">
        <v>65</v>
      </c>
      <c r="J25" s="7" t="s">
        <v>70</v>
      </c>
      <c r="K25" s="15">
        <v>44690.0</v>
      </c>
      <c r="L25" s="15">
        <v>35911.0</v>
      </c>
      <c r="M25" s="13">
        <v>24771.0</v>
      </c>
      <c r="N25" s="7">
        <v>4885.0</v>
      </c>
      <c r="O25" s="7"/>
      <c r="P25" s="7">
        <v>13.33</v>
      </c>
      <c r="Q25" s="7">
        <v>4885.0</v>
      </c>
      <c r="R25" s="20">
        <v>0.0</v>
      </c>
      <c r="S25" s="7"/>
      <c r="T25" s="20"/>
      <c r="U25" s="16">
        <f>SUM(Template!$N25:$O25)*Template!$P25+Template!$Q25</f>
        <v>70002.05</v>
      </c>
      <c r="V25" s="17" t="str">
        <f>IF(Template!$M25="CONSELHO","N",IF(Template!$AA25="N","N1",IF(Template!$AA25="N1","N2",IF(Template!$AA25="N2","N3",IF(Template!$AA25="N3","N4",IF(Template!$AA25="N4","N5",IF(Template!$AA25="N5","N6",IF(Template!$AA25="N6","N7",IF(Template!$AA25="N7","N8",IF(Template!$AA25="N8","N9",IF(Template!$AA25="N9","N10","NA")))))))))))</f>
        <v>N4</v>
      </c>
      <c r="W25" s="17">
        <f>COUNTIF(Template!$M$3:$M$619,Template!$D25)</f>
        <v>0</v>
      </c>
      <c r="X25" s="17">
        <f>IF(Template!$F25="","",SUMIF(Template!$M$3:$M$619,Template!$D25,Template!$AC$3:$AC$619))</f>
        <v>0</v>
      </c>
      <c r="Y25" s="17" t="str">
        <f>IFERROR(VLOOKUP(Template!$M25,Template!$D$3:$G$619,MATCH("EmployeeJobTitle",Template!$D$2:$G$2,0),FALSE),"NA")</f>
        <v>COORDENADOR DE MARKETING</v>
      </c>
      <c r="Z25" s="17" t="str">
        <f>IFERROR(VLOOKUP(Template!$M25,Template!$D$3:$G$619,MATCH("EmployeeGroup",Template!$D$2:$G$2,0),FALSE),"NA")</f>
        <v>Coordenador</v>
      </c>
      <c r="AA25" s="17" t="str">
        <f>IFERROR(VLOOKUP(Template!$M25,Template!$D$3:$V$619,MATCH("Layer",Template!$D$2:$V$2,0),FALSE),"NA")</f>
        <v>N3</v>
      </c>
      <c r="AB25" s="21">
        <f>VLOOKUP(Template!$M25,Template!$D$3:$F$619,MATCH("InternalGrade",Template!$D$2:$F$2,0),FALSE)-Template!$F25</f>
        <v>3</v>
      </c>
      <c r="AC25" s="17">
        <f>IF(Template!$AB25&lt;=1, 0.8,IF(Template!$AB25=2,0.4,IF(Template!$AB25=3,0.2,IF(Template!$AB25=4,0.1,IF(Template!$AB25&gt;=5,0.05,"erro")))))</f>
        <v>0.2</v>
      </c>
      <c r="AD25" s="17" t="b">
        <f>Template!$D25=Template!$M25</f>
        <v>0</v>
      </c>
      <c r="AE25" s="12" t="s">
        <v>58</v>
      </c>
    </row>
    <row r="26" ht="15.75" customHeight="1">
      <c r="A26" s="7" t="s">
        <v>59</v>
      </c>
      <c r="B26" s="7" t="s">
        <v>75</v>
      </c>
      <c r="C26" s="7" t="s">
        <v>76</v>
      </c>
      <c r="D26" s="13">
        <v>24276.0</v>
      </c>
      <c r="E26" s="7" t="s">
        <v>107</v>
      </c>
      <c r="F26" s="13">
        <v>16.0</v>
      </c>
      <c r="G26" s="14" t="s">
        <v>63</v>
      </c>
      <c r="H26" s="7" t="s">
        <v>64</v>
      </c>
      <c r="I26" s="7" t="s">
        <v>65</v>
      </c>
      <c r="J26" s="7" t="s">
        <v>70</v>
      </c>
      <c r="K26" s="15">
        <v>45180.0</v>
      </c>
      <c r="L26" s="15">
        <v>33355.0</v>
      </c>
      <c r="M26" s="13">
        <v>24771.0</v>
      </c>
      <c r="N26" s="7">
        <v>5720.0</v>
      </c>
      <c r="O26" s="7"/>
      <c r="P26" s="7">
        <v>13.33</v>
      </c>
      <c r="Q26" s="7">
        <v>5720.0</v>
      </c>
      <c r="R26" s="20">
        <v>0.0</v>
      </c>
      <c r="S26" s="7"/>
      <c r="T26" s="20"/>
      <c r="U26" s="16">
        <f>SUM(Template!$N26:$O26)*Template!$P26+Template!$Q26</f>
        <v>81967.6</v>
      </c>
      <c r="V26" s="17" t="str">
        <f>IF(Template!$M26="CONSELHO","N",IF(Template!$AA26="N","N1",IF(Template!$AA26="N1","N2",IF(Template!$AA26="N2","N3",IF(Template!$AA26="N3","N4",IF(Template!$AA26="N4","N5",IF(Template!$AA26="N5","N6",IF(Template!$AA26="N6","N7",IF(Template!$AA26="N7","N8",IF(Template!$AA26="N8","N9",IF(Template!$AA26="N9","N10","NA")))))))))))</f>
        <v>N4</v>
      </c>
      <c r="W26" s="17">
        <f>COUNTIF(Template!$M$3:$M$619,Template!$D26)</f>
        <v>0</v>
      </c>
      <c r="X26" s="17">
        <f>IF(Template!$F26="","",SUMIF(Template!$M$3:$M$619,Template!$D26,Template!$AC$3:$AC$619))</f>
        <v>0</v>
      </c>
      <c r="Y26" s="17" t="str">
        <f>IFERROR(VLOOKUP(Template!$M26,Template!$D$3:$G$619,MATCH("EmployeeJobTitle",Template!$D$2:$G$2,0),FALSE),"NA")</f>
        <v>COORDENADOR DE MARKETING</v>
      </c>
      <c r="Z26" s="17" t="str">
        <f>IFERROR(VLOOKUP(Template!$M26,Template!$D$3:$G$619,MATCH("EmployeeGroup",Template!$D$2:$G$2,0),FALSE),"NA")</f>
        <v>Coordenador</v>
      </c>
      <c r="AA26" s="17" t="str">
        <f>IFERROR(VLOOKUP(Template!$M26,Template!$D$3:$V$619,MATCH("Layer",Template!$D$2:$V$2,0),FALSE),"NA")</f>
        <v>N3</v>
      </c>
      <c r="AB26" s="21">
        <f>VLOOKUP(Template!$M26,Template!$D$3:$F$619,MATCH("InternalGrade",Template!$D$2:$F$2,0),FALSE)-Template!$F26</f>
        <v>2</v>
      </c>
      <c r="AC26" s="17">
        <f>IF(Template!$AB26&lt;=1, 0.8,IF(Template!$AB26=2,0.4,IF(Template!$AB26=3,0.2,IF(Template!$AB26=4,0.1,IF(Template!$AB26&gt;=5,0.05,"erro")))))</f>
        <v>0.4</v>
      </c>
      <c r="AD26" s="17" t="b">
        <f>Template!$D26=Template!$M26</f>
        <v>0</v>
      </c>
      <c r="AE26" s="12" t="s">
        <v>58</v>
      </c>
    </row>
    <row r="27" ht="15.75" customHeight="1">
      <c r="A27" s="7" t="s">
        <v>59</v>
      </c>
      <c r="B27" s="7" t="s">
        <v>60</v>
      </c>
      <c r="C27" s="7" t="s">
        <v>61</v>
      </c>
      <c r="D27" s="13">
        <v>25437.0</v>
      </c>
      <c r="E27" s="7" t="s">
        <v>108</v>
      </c>
      <c r="F27" s="13">
        <v>12.0</v>
      </c>
      <c r="G27" s="14" t="s">
        <v>63</v>
      </c>
      <c r="H27" s="7" t="s">
        <v>64</v>
      </c>
      <c r="I27" s="7" t="s">
        <v>65</v>
      </c>
      <c r="J27" s="7" t="s">
        <v>70</v>
      </c>
      <c r="K27" s="15">
        <v>45572.0</v>
      </c>
      <c r="L27" s="15">
        <v>35824.0</v>
      </c>
      <c r="M27" s="13">
        <v>23251.0</v>
      </c>
      <c r="N27" s="7">
        <v>1953.0</v>
      </c>
      <c r="O27" s="7"/>
      <c r="P27" s="7">
        <v>13.33</v>
      </c>
      <c r="Q27" s="7">
        <v>1953.0</v>
      </c>
      <c r="R27" s="20">
        <v>0.0</v>
      </c>
      <c r="S27" s="7"/>
      <c r="T27" s="20"/>
      <c r="U27" s="16">
        <f>SUM(Template!$N27:$O27)*Template!$P27+Template!$Q27</f>
        <v>27986.49</v>
      </c>
      <c r="V27" s="17" t="str">
        <f>IF(Template!$M27="CONSELHO","N",IF(Template!$AA27="N","N1",IF(Template!$AA27="N1","N2",IF(Template!$AA27="N2","N3",IF(Template!$AA27="N3","N4",IF(Template!$AA27="N4","N5",IF(Template!$AA27="N5","N6",IF(Template!$AA27="N6","N7",IF(Template!$AA27="N7","N8",IF(Template!$AA27="N8","N9",IF(Template!$AA27="N9","N10","NA")))))))))))</f>
        <v>N3</v>
      </c>
      <c r="W27" s="17">
        <f>COUNTIF(Template!$M$3:$M$619,Template!$D27)</f>
        <v>0</v>
      </c>
      <c r="X27" s="17">
        <f>IF(Template!$F27="","",SUMIF(Template!$M$3:$M$619,Template!$D27,Template!$AC$3:$AC$619))</f>
        <v>0</v>
      </c>
      <c r="Y27" s="17" t="str">
        <f>IFERROR(VLOOKUP(Template!$M27,Template!$D$3:$G$619,MATCH("EmployeeJobTitle",Template!$D$2:$G$2,0),FALSE),"NA")</f>
        <v>GERENTE DE CONTROLADORIA</v>
      </c>
      <c r="Z27" s="17" t="str">
        <f>IFERROR(VLOOKUP(Template!$M27,Template!$D$3:$G$619,MATCH("EmployeeGroup",Template!$D$2:$G$2,0),FALSE),"NA")</f>
        <v>Gerente</v>
      </c>
      <c r="AA27" s="17" t="str">
        <f>IFERROR(VLOOKUP(Template!$M27,Template!$D$3:$V$619,MATCH("Layer",Template!$D$2:$V$2,0),FALSE),"NA")</f>
        <v>N2</v>
      </c>
      <c r="AB27" s="21">
        <f>VLOOKUP(Template!$M27,Template!$D$3:$F$619,MATCH("InternalGrade",Template!$D$2:$F$2,0),FALSE)-Template!$F27</f>
        <v>7</v>
      </c>
      <c r="AC27" s="17">
        <f>IF(Template!$AB27&lt;=1, 0.8,IF(Template!$AB27=2,0.4,IF(Template!$AB27=3,0.2,IF(Template!$AB27=4,0.1,IF(Template!$AB27&gt;=5,0.05,"erro")))))</f>
        <v>0.05</v>
      </c>
      <c r="AD27" s="17" t="b">
        <f>Template!$D27=Template!$M27</f>
        <v>0</v>
      </c>
      <c r="AE27" s="12" t="s">
        <v>58</v>
      </c>
    </row>
    <row r="28" ht="15.75" customHeight="1">
      <c r="A28" s="7" t="s">
        <v>59</v>
      </c>
      <c r="B28" s="7" t="s">
        <v>91</v>
      </c>
      <c r="C28" s="7" t="s">
        <v>91</v>
      </c>
      <c r="D28" s="13">
        <v>24680.0</v>
      </c>
      <c r="E28" s="7" t="s">
        <v>109</v>
      </c>
      <c r="F28" s="13">
        <v>14.0</v>
      </c>
      <c r="G28" s="14" t="s">
        <v>63</v>
      </c>
      <c r="H28" s="7" t="s">
        <v>64</v>
      </c>
      <c r="I28" s="7" t="s">
        <v>65</v>
      </c>
      <c r="J28" s="7" t="s">
        <v>66</v>
      </c>
      <c r="K28" s="15">
        <v>45261.0</v>
      </c>
      <c r="L28" s="15">
        <v>37001.0</v>
      </c>
      <c r="M28" s="13">
        <v>25348.0</v>
      </c>
      <c r="N28" s="7">
        <v>3464.0</v>
      </c>
      <c r="O28" s="7"/>
      <c r="P28" s="7">
        <v>13.33</v>
      </c>
      <c r="Q28" s="7">
        <v>3464.0</v>
      </c>
      <c r="R28" s="20">
        <v>0.0</v>
      </c>
      <c r="S28" s="7"/>
      <c r="T28" s="20"/>
      <c r="U28" s="16">
        <f>SUM(Template!$N28:$O28)*Template!$P28+Template!$Q28</f>
        <v>49639.12</v>
      </c>
      <c r="V28" s="17" t="str">
        <f>IF(Template!$M28="CONSELHO","N",IF(Template!$AA28="N","N1",IF(Template!$AA28="N1","N2",IF(Template!$AA28="N2","N3",IF(Template!$AA28="N3","N4",IF(Template!$AA28="N4","N5",IF(Template!$AA28="N5","N6",IF(Template!$AA28="N6","N7",IF(Template!$AA28="N7","N8",IF(Template!$AA28="N8","N9",IF(Template!$AA28="N9","N10","NA")))))))))))</f>
        <v>N3</v>
      </c>
      <c r="W28" s="17">
        <f>COUNTIF(Template!$M$3:$M$619,Template!$D28)</f>
        <v>0</v>
      </c>
      <c r="X28" s="17">
        <f>IF(Template!$F28="","",SUMIF(Template!$M$3:$M$619,Template!$D28,Template!$AC$3:$AC$619))</f>
        <v>0</v>
      </c>
      <c r="Y28" s="17" t="str">
        <f>IFERROR(VLOOKUP(Template!$M28,Template!$D$3:$G$619,MATCH("EmployeeJobTitle",Template!$D$2:$G$2,0),FALSE),"NA")</f>
        <v>COORDENADOR DE TI</v>
      </c>
      <c r="Z28" s="17" t="str">
        <f>IFERROR(VLOOKUP(Template!$M28,Template!$D$3:$G$619,MATCH("EmployeeGroup",Template!$D$2:$G$2,0),FALSE),"NA")</f>
        <v>Coordenador</v>
      </c>
      <c r="AA28" s="17" t="str">
        <f>IFERROR(VLOOKUP(Template!$M28,Template!$D$3:$V$619,MATCH("Layer",Template!$D$2:$V$2,0),FALSE),"NA")</f>
        <v>N2</v>
      </c>
      <c r="AB28" s="21">
        <f>VLOOKUP(Template!$M28,Template!$D$3:$F$619,MATCH("InternalGrade",Template!$D$2:$F$2,0),FALSE)-Template!$F28</f>
        <v>4</v>
      </c>
      <c r="AC28" s="17">
        <f>IF(Template!$AB28&lt;=1, 0.8,IF(Template!$AB28=2,0.4,IF(Template!$AB28=3,0.2,IF(Template!$AB28=4,0.1,IF(Template!$AB28&gt;=5,0.05,"erro")))))</f>
        <v>0.1</v>
      </c>
      <c r="AD28" s="17" t="b">
        <f>Template!$D28=Template!$M28</f>
        <v>0</v>
      </c>
      <c r="AE28" s="12" t="s">
        <v>58</v>
      </c>
    </row>
    <row r="29" ht="15.75" customHeight="1">
      <c r="A29" s="7" t="s">
        <v>59</v>
      </c>
      <c r="B29" s="7" t="s">
        <v>71</v>
      </c>
      <c r="C29" s="7" t="s">
        <v>72</v>
      </c>
      <c r="D29" s="13">
        <v>14021.0</v>
      </c>
      <c r="E29" s="7" t="s">
        <v>110</v>
      </c>
      <c r="F29" s="13">
        <v>19.0</v>
      </c>
      <c r="G29" s="22" t="s">
        <v>111</v>
      </c>
      <c r="H29" s="7" t="s">
        <v>64</v>
      </c>
      <c r="I29" s="7" t="s">
        <v>65</v>
      </c>
      <c r="J29" s="7" t="s">
        <v>70</v>
      </c>
      <c r="K29" s="15">
        <v>42006.0</v>
      </c>
      <c r="L29" s="15">
        <v>33052.0</v>
      </c>
      <c r="M29" s="13">
        <v>23261.0</v>
      </c>
      <c r="N29" s="7">
        <v>18485.13</v>
      </c>
      <c r="O29" s="7"/>
      <c r="P29" s="7">
        <v>13.33</v>
      </c>
      <c r="Q29" s="7">
        <v>55455.39</v>
      </c>
      <c r="R29" s="20">
        <v>17180.079822000003</v>
      </c>
      <c r="S29" s="7"/>
      <c r="T29" s="20"/>
      <c r="U29" s="16">
        <f>SUM(Template!$N29:$O29)*Template!$P29+Template!$Q29</f>
        <v>301862.1729</v>
      </c>
      <c r="V29" s="17" t="str">
        <f>IF(Template!$M29="CONSELHO","N",IF(Template!$AA29="N","N1",IF(Template!$AA29="N1","N2",IF(Template!$AA29="N2","N3",IF(Template!$AA29="N3","N4",IF(Template!$AA29="N4","N5",IF(Template!$AA29="N5","N6",IF(Template!$AA29="N6","N7",IF(Template!$AA29="N7","N8",IF(Template!$AA29="N8","N9",IF(Template!$AA29="N9","N10","NA")))))))))))</f>
        <v>N2</v>
      </c>
      <c r="W29" s="17">
        <f>COUNTIF(Template!$M$3:$M$619,Template!$D29)</f>
        <v>1</v>
      </c>
      <c r="X29" s="17">
        <f>IF(Template!$F29="","",SUMIF(Template!$M$3:$M$619,Template!$D29,Template!$AC$3:$AC$619))</f>
        <v>0.4</v>
      </c>
      <c r="Y29" s="17" t="str">
        <f>IFERROR(VLOOKUP(Template!$M29,Template!$D$3:$G$619,MATCH("EmployeeJobTitle",Template!$D$2:$G$2,0),FALSE),"NA")</f>
        <v>DIRETORA DE COMPRAS E LOGISTICA</v>
      </c>
      <c r="Z29" s="17" t="str">
        <f>IFERROR(VLOOKUP(Template!$M29,Template!$D$3:$G$619,MATCH("EmployeeGroup",Template!$D$2:$G$2,0),FALSE),"NA")</f>
        <v>Diretor</v>
      </c>
      <c r="AA29" s="17" t="str">
        <f>IFERROR(VLOOKUP(Template!$M29,Template!$D$3:$V$619,MATCH("Layer",Template!$D$2:$V$2,0),FALSE),"NA")</f>
        <v>N1</v>
      </c>
      <c r="AB29" s="21">
        <f>VLOOKUP(Template!$M29,Template!$D$3:$F$619,MATCH("InternalGrade",Template!$D$2:$F$2,0),FALSE)-Template!$F29</f>
        <v>2</v>
      </c>
      <c r="AC29" s="17">
        <f>IF(Template!$AB29&lt;=1, 0.8,IF(Template!$AB29=2,0.4,IF(Template!$AB29=3,0.2,IF(Template!$AB29=4,0.1,IF(Template!$AB29&gt;=5,0.05,"erro")))))</f>
        <v>0.4</v>
      </c>
      <c r="AD29" s="17" t="b">
        <f>Template!$D29=Template!$M29</f>
        <v>0</v>
      </c>
      <c r="AE29" s="12" t="s">
        <v>58</v>
      </c>
    </row>
    <row r="30" ht="15.75" customHeight="1">
      <c r="A30" s="7" t="s">
        <v>59</v>
      </c>
      <c r="B30" s="7" t="s">
        <v>60</v>
      </c>
      <c r="C30" s="7" t="s">
        <v>99</v>
      </c>
      <c r="D30" s="13">
        <v>22843.0</v>
      </c>
      <c r="E30" s="7" t="s">
        <v>112</v>
      </c>
      <c r="F30" s="13">
        <v>15.0</v>
      </c>
      <c r="G30" s="14" t="s">
        <v>63</v>
      </c>
      <c r="H30" s="7" t="s">
        <v>64</v>
      </c>
      <c r="I30" s="7" t="s">
        <v>65</v>
      </c>
      <c r="J30" s="7" t="s">
        <v>70</v>
      </c>
      <c r="K30" s="15">
        <v>44888.0</v>
      </c>
      <c r="L30" s="15">
        <v>32783.0</v>
      </c>
      <c r="M30" s="13">
        <v>11398.0</v>
      </c>
      <c r="N30" s="7">
        <v>5435.0</v>
      </c>
      <c r="O30" s="7"/>
      <c r="P30" s="7">
        <v>13.33</v>
      </c>
      <c r="Q30" s="7">
        <v>5435.0</v>
      </c>
      <c r="R30" s="20">
        <v>0.0</v>
      </c>
      <c r="S30" s="7"/>
      <c r="T30" s="20"/>
      <c r="U30" s="16">
        <f>SUM(Template!$N30:$O30)*Template!$P30+Template!$Q30</f>
        <v>77883.55</v>
      </c>
      <c r="V30" s="17" t="str">
        <f>IF(Template!$M30="CONSELHO","N",IF(Template!$AA30="N","N1",IF(Template!$AA30="N1","N2",IF(Template!$AA30="N2","N3",IF(Template!$AA30="N3","N4",IF(Template!$AA30="N4","N5",IF(Template!$AA30="N5","N6",IF(Template!$AA30="N6","N7",IF(Template!$AA30="N7","N8",IF(Template!$AA30="N8","N9",IF(Template!$AA30="N9","N10","NA")))))))))))</f>
        <v>N4</v>
      </c>
      <c r="W30" s="17">
        <f>COUNTIF(Template!$M$3:$M$619,Template!$D30)</f>
        <v>0</v>
      </c>
      <c r="X30" s="17">
        <f>IF(Template!$F30="","",SUMIF(Template!$M$3:$M$619,Template!$D30,Template!$AC$3:$AC$619))</f>
        <v>0</v>
      </c>
      <c r="Y30" s="17" t="str">
        <f>IFERROR(VLOOKUP(Template!$M30,Template!$D$3:$G$619,MATCH("EmployeeJobTitle",Template!$D$2:$G$2,0),FALSE),"NA")</f>
        <v>COORDENADOR FISCAL</v>
      </c>
      <c r="Z30" s="17" t="str">
        <f>IFERROR(VLOOKUP(Template!$M30,Template!$D$3:$G$619,MATCH("EmployeeGroup",Template!$D$2:$G$2,0),FALSE),"NA")</f>
        <v>Coordenador</v>
      </c>
      <c r="AA30" s="17" t="str">
        <f>IFERROR(VLOOKUP(Template!$M30,Template!$D$3:$V$619,MATCH("Layer",Template!$D$2:$V$2,0),FALSE),"NA")</f>
        <v>N3</v>
      </c>
      <c r="AB30" s="21">
        <f>VLOOKUP(Template!$M30,Template!$D$3:$F$619,MATCH("InternalGrade",Template!$D$2:$F$2,0),FALSE)-Template!$F30</f>
        <v>3</v>
      </c>
      <c r="AC30" s="17">
        <f>IF(Template!$AB30&lt;=1, 0.8,IF(Template!$AB30=2,0.4,IF(Template!$AB30=3,0.2,IF(Template!$AB30=4,0.1,IF(Template!$AB30&gt;=5,0.05,"erro")))))</f>
        <v>0.2</v>
      </c>
      <c r="AD30" s="17" t="b">
        <f>Template!$D30=Template!$M30</f>
        <v>0</v>
      </c>
      <c r="AE30" s="12" t="s">
        <v>58</v>
      </c>
    </row>
    <row r="31" ht="15.75" customHeight="1">
      <c r="A31" s="7" t="s">
        <v>59</v>
      </c>
      <c r="B31" s="7" t="s">
        <v>75</v>
      </c>
      <c r="C31" s="7" t="s">
        <v>89</v>
      </c>
      <c r="D31" s="13">
        <v>17352.0</v>
      </c>
      <c r="E31" s="7" t="s">
        <v>90</v>
      </c>
      <c r="F31" s="13">
        <v>14.0</v>
      </c>
      <c r="G31" s="14" t="s">
        <v>63</v>
      </c>
      <c r="H31" s="7" t="s">
        <v>64</v>
      </c>
      <c r="I31" s="7" t="s">
        <v>65</v>
      </c>
      <c r="J31" s="7" t="s">
        <v>70</v>
      </c>
      <c r="K31" s="15">
        <v>43437.0</v>
      </c>
      <c r="L31" s="15">
        <v>32427.0</v>
      </c>
      <c r="M31" s="13">
        <v>23266.0</v>
      </c>
      <c r="N31" s="7">
        <v>3623.0</v>
      </c>
      <c r="O31" s="7"/>
      <c r="P31" s="7">
        <v>13.33</v>
      </c>
      <c r="Q31" s="7">
        <v>3623.0</v>
      </c>
      <c r="R31" s="20">
        <v>0.0</v>
      </c>
      <c r="S31" s="7"/>
      <c r="T31" s="20"/>
      <c r="U31" s="16">
        <f>SUM(Template!$N31:$O31)*Template!$P31+Template!$Q31</f>
        <v>51917.59</v>
      </c>
      <c r="V31" s="17" t="str">
        <f>IF(Template!$M31="CONSELHO","N",IF(Template!$AA31="N","N1",IF(Template!$AA31="N1","N2",IF(Template!$AA31="N2","N3",IF(Template!$AA31="N3","N4",IF(Template!$AA31="N4","N5",IF(Template!$AA31="N5","N6",IF(Template!$AA31="N6","N7",IF(Template!$AA31="N7","N8",IF(Template!$AA31="N8","N9",IF(Template!$AA31="N9","N10","NA")))))))))))</f>
        <v>N3</v>
      </c>
      <c r="W31" s="17">
        <f>COUNTIF(Template!$M$3:$M$619,Template!$D31)</f>
        <v>0</v>
      </c>
      <c r="X31" s="17">
        <f>IF(Template!$F31="","",SUMIF(Template!$M$3:$M$619,Template!$D31,Template!$AC$3:$AC$619))</f>
        <v>0</v>
      </c>
      <c r="Y31" s="17" t="str">
        <f>IFERROR(VLOOKUP(Template!$M31,Template!$D$3:$G$619,MATCH("EmployeeJobTitle",Template!$D$2:$G$2,0),FALSE),"NA")</f>
        <v>GERENTE DE VM</v>
      </c>
      <c r="Z31" s="17" t="str">
        <f>IFERROR(VLOOKUP(Template!$M31,Template!$D$3:$G$619,MATCH("EmployeeGroup",Template!$D$2:$G$2,0),FALSE),"NA")</f>
        <v>Gerente</v>
      </c>
      <c r="AA31" s="17" t="str">
        <f>IFERROR(VLOOKUP(Template!$M31,Template!$D$3:$V$619,MATCH("Layer",Template!$D$2:$V$2,0),FALSE),"NA")</f>
        <v>N2</v>
      </c>
      <c r="AB31" s="21">
        <f>VLOOKUP(Template!$M31,Template!$D$3:$F$619,MATCH("InternalGrade",Template!$D$2:$F$2,0),FALSE)-Template!$F31</f>
        <v>5</v>
      </c>
      <c r="AC31" s="17">
        <f>IF(Template!$AB31&lt;=1, 0.8,IF(Template!$AB31=2,0.4,IF(Template!$AB31=3,0.2,IF(Template!$AB31=4,0.1,IF(Template!$AB31&gt;=5,0.05,"erro")))))</f>
        <v>0.05</v>
      </c>
      <c r="AD31" s="17" t="b">
        <f>Template!$D31=Template!$M31</f>
        <v>0</v>
      </c>
      <c r="AE31" s="12" t="s">
        <v>58</v>
      </c>
    </row>
    <row r="32" ht="15.75" customHeight="1">
      <c r="A32" s="7" t="s">
        <v>59</v>
      </c>
      <c r="B32" s="7" t="s">
        <v>71</v>
      </c>
      <c r="C32" s="7" t="s">
        <v>84</v>
      </c>
      <c r="D32" s="13">
        <v>15334.0</v>
      </c>
      <c r="E32" s="7" t="s">
        <v>113</v>
      </c>
      <c r="F32" s="13">
        <v>13.0</v>
      </c>
      <c r="G32" s="14" t="s">
        <v>63</v>
      </c>
      <c r="H32" s="7" t="s">
        <v>64</v>
      </c>
      <c r="I32" s="7" t="s">
        <v>65</v>
      </c>
      <c r="J32" s="7" t="s">
        <v>70</v>
      </c>
      <c r="K32" s="15">
        <v>42663.0</v>
      </c>
      <c r="L32" s="15">
        <v>32338.0</v>
      </c>
      <c r="M32" s="13">
        <v>17952.0</v>
      </c>
      <c r="N32" s="7">
        <v>2732.4</v>
      </c>
      <c r="O32" s="7"/>
      <c r="P32" s="7">
        <v>13.33</v>
      </c>
      <c r="Q32" s="7">
        <v>2732.4</v>
      </c>
      <c r="R32" s="20">
        <v>0.0</v>
      </c>
      <c r="S32" s="7"/>
      <c r="T32" s="20"/>
      <c r="U32" s="16">
        <f>SUM(Template!$N32:$O32)*Template!$P32+Template!$Q32</f>
        <v>39155.292</v>
      </c>
      <c r="V32" s="17" t="str">
        <f>IF(Template!$M32="CONSELHO","N",IF(Template!$AA32="N","N1",IF(Template!$AA32="N1","N2",IF(Template!$AA32="N2","N3",IF(Template!$AA32="N3","N4",IF(Template!$AA32="N4","N5",IF(Template!$AA32="N5","N6",IF(Template!$AA32="N6","N7",IF(Template!$AA32="N7","N8",IF(Template!$AA32="N8","N9",IF(Template!$AA32="N9","N10","NA")))))))))))</f>
        <v>N3</v>
      </c>
      <c r="W32" s="17">
        <f>COUNTIF(Template!$M$3:$M$619,Template!$D32)</f>
        <v>0</v>
      </c>
      <c r="X32" s="17">
        <f>IF(Template!$F32="","",SUMIF(Template!$M$3:$M$619,Template!$D32,Template!$AC$3:$AC$619))</f>
        <v>0</v>
      </c>
      <c r="Y32" s="17" t="str">
        <f>IFERROR(VLOOKUP(Template!$M32,Template!$D$3:$G$619,MATCH("EmployeeJobTitle",Template!$D$2:$G$2,0),FALSE),"NA")</f>
        <v>COORDENADOR DE PRODUTOS</v>
      </c>
      <c r="Z32" s="17" t="str">
        <f>IFERROR(VLOOKUP(Template!$M32,Template!$D$3:$G$619,MATCH("EmployeeGroup",Template!$D$2:$G$2,0),FALSE),"NA")</f>
        <v>Coordenador</v>
      </c>
      <c r="AA32" s="17" t="str">
        <f>IFERROR(VLOOKUP(Template!$M32,Template!$D$3:$V$619,MATCH("Layer",Template!$D$2:$V$2,0),FALSE),"NA")</f>
        <v>N2</v>
      </c>
      <c r="AB32" s="21">
        <f>VLOOKUP(Template!$M32,Template!$D$3:$F$619,MATCH("InternalGrade",Template!$D$2:$F$2,0),FALSE)-Template!$F32</f>
        <v>6</v>
      </c>
      <c r="AC32" s="17">
        <f>IF(Template!$AB32&lt;=1, 0.8,IF(Template!$AB32=2,0.4,IF(Template!$AB32=3,0.2,IF(Template!$AB32=4,0.1,IF(Template!$AB32&gt;=5,0.05,"erro")))))</f>
        <v>0.05</v>
      </c>
      <c r="AD32" s="17" t="b">
        <f>Template!$D32=Template!$M32</f>
        <v>0</v>
      </c>
      <c r="AE32" s="12" t="s">
        <v>58</v>
      </c>
    </row>
    <row r="33" ht="15.75" customHeight="1">
      <c r="A33" s="7" t="s">
        <v>59</v>
      </c>
      <c r="B33" s="7" t="s">
        <v>96</v>
      </c>
      <c r="C33" s="7" t="s">
        <v>97</v>
      </c>
      <c r="D33" s="13">
        <v>19343.0</v>
      </c>
      <c r="E33" s="7" t="s">
        <v>114</v>
      </c>
      <c r="F33" s="13">
        <v>13.0</v>
      </c>
      <c r="G33" s="14" t="s">
        <v>63</v>
      </c>
      <c r="H33" s="7" t="s">
        <v>64</v>
      </c>
      <c r="I33" s="7" t="s">
        <v>65</v>
      </c>
      <c r="J33" s="7" t="s">
        <v>70</v>
      </c>
      <c r="K33" s="15">
        <v>44228.0</v>
      </c>
      <c r="L33" s="15">
        <v>28950.0</v>
      </c>
      <c r="M33" s="13">
        <v>20505.0</v>
      </c>
      <c r="N33" s="7">
        <v>3324.0</v>
      </c>
      <c r="O33" s="7"/>
      <c r="P33" s="7">
        <v>13.33</v>
      </c>
      <c r="Q33" s="7">
        <v>3324.0</v>
      </c>
      <c r="R33" s="20">
        <v>0.0</v>
      </c>
      <c r="S33" s="7"/>
      <c r="T33" s="20"/>
      <c r="U33" s="16">
        <f>SUM(Template!$N33:$O33)*Template!$P33+Template!$Q33</f>
        <v>47632.92</v>
      </c>
      <c r="V33" s="17" t="str">
        <f>IF(Template!$M33="CONSELHO","N",IF(Template!$AA33="N","N1",IF(Template!$AA33="N1","N2",IF(Template!$AA33="N2","N3",IF(Template!$AA33="N3","N4",IF(Template!$AA33="N4","N5",IF(Template!$AA33="N5","N6",IF(Template!$AA33="N6","N7",IF(Template!$AA33="N7","N8",IF(Template!$AA33="N8","N9",IF(Template!$AA33="N9","N10","NA")))))))))))</f>
        <v>N3</v>
      </c>
      <c r="W33" s="17">
        <f>COUNTIF(Template!$M$3:$M$619,Template!$D33)</f>
        <v>0</v>
      </c>
      <c r="X33" s="17">
        <f>IF(Template!$F33="","",SUMIF(Template!$M$3:$M$619,Template!$D33,Template!$AC$3:$AC$619))</f>
        <v>0</v>
      </c>
      <c r="Y33" s="17" t="str">
        <f>IFERROR(VLOOKUP(Template!$M33,Template!$D$3:$G$619,MATCH("EmployeeJobTitle",Template!$D$2:$G$2,0),FALSE),"NA")</f>
        <v>COORDENADOR DE RECURSOS HUMANOS</v>
      </c>
      <c r="Z33" s="17" t="str">
        <f>IFERROR(VLOOKUP(Template!$M33,Template!$D$3:$G$619,MATCH("EmployeeGroup",Template!$D$2:$G$2,0),FALSE),"NA")</f>
        <v>Coordenador</v>
      </c>
      <c r="AA33" s="17" t="str">
        <f>IFERROR(VLOOKUP(Template!$M33,Template!$D$3:$V$619,MATCH("Layer",Template!$D$2:$V$2,0),FALSE),"NA")</f>
        <v>N2</v>
      </c>
      <c r="AB33" s="21">
        <f>VLOOKUP(Template!$M33,Template!$D$3:$F$619,MATCH("InternalGrade",Template!$D$2:$F$2,0),FALSE)-Template!$F33</f>
        <v>5</v>
      </c>
      <c r="AC33" s="17">
        <f>IF(Template!$AB33&lt;=1, 0.8,IF(Template!$AB33=2,0.4,IF(Template!$AB33=3,0.2,IF(Template!$AB33=4,0.1,IF(Template!$AB33&gt;=5,0.05,"erro")))))</f>
        <v>0.05</v>
      </c>
      <c r="AD33" s="17" t="b">
        <f>Template!$D33=Template!$M33</f>
        <v>0</v>
      </c>
      <c r="AE33" s="12" t="s">
        <v>58</v>
      </c>
    </row>
    <row r="34" ht="15.75" customHeight="1">
      <c r="A34" s="7" t="s">
        <v>59</v>
      </c>
      <c r="B34" s="7" t="s">
        <v>71</v>
      </c>
      <c r="C34" s="7" t="s">
        <v>72</v>
      </c>
      <c r="D34" s="13">
        <v>19871.0</v>
      </c>
      <c r="E34" s="7" t="s">
        <v>115</v>
      </c>
      <c r="F34" s="13">
        <v>15.0</v>
      </c>
      <c r="G34" s="14" t="s">
        <v>63</v>
      </c>
      <c r="H34" s="7" t="s">
        <v>64</v>
      </c>
      <c r="I34" s="7" t="s">
        <v>65</v>
      </c>
      <c r="J34" s="7" t="s">
        <v>70</v>
      </c>
      <c r="K34" s="15">
        <v>44494.0</v>
      </c>
      <c r="L34" s="15">
        <v>30852.0</v>
      </c>
      <c r="M34" s="13">
        <v>18792.0</v>
      </c>
      <c r="N34" s="7">
        <v>4043.0</v>
      </c>
      <c r="O34" s="7"/>
      <c r="P34" s="7">
        <v>13.33</v>
      </c>
      <c r="Q34" s="7">
        <v>4043.0</v>
      </c>
      <c r="R34" s="20">
        <v>0.0</v>
      </c>
      <c r="S34" s="7"/>
      <c r="T34" s="20"/>
      <c r="U34" s="16">
        <f>SUM(Template!$N34:$O34)*Template!$P34+Template!$Q34</f>
        <v>57936.19</v>
      </c>
      <c r="V34" s="17" t="str">
        <f>IF(Template!$M34="CONSELHO","N",IF(Template!$AA34="N","N1",IF(Template!$AA34="N1","N2",IF(Template!$AA34="N2","N3",IF(Template!$AA34="N3","N4",IF(Template!$AA34="N4","N5",IF(Template!$AA34="N5","N6",IF(Template!$AA34="N6","N7",IF(Template!$AA34="N7","N8",IF(Template!$AA34="N8","N9",IF(Template!$AA34="N9","N10","NA")))))))))))</f>
        <v>N4</v>
      </c>
      <c r="W34" s="17">
        <f>COUNTIF(Template!$M$3:$M$619,Template!$D34)</f>
        <v>0</v>
      </c>
      <c r="X34" s="17">
        <f>IF(Template!$F34="","",SUMIF(Template!$M$3:$M$619,Template!$D34,Template!$AC$3:$AC$619))</f>
        <v>0</v>
      </c>
      <c r="Y34" s="17" t="str">
        <f>IFERROR(VLOOKUP(Template!$M34,Template!$D$3:$G$619,MATCH("EmployeeJobTitle",Template!$D$2:$G$2,0),FALSE),"NA")</f>
        <v>COORDENADOR DE PLANEJAMENTO</v>
      </c>
      <c r="Z34" s="17" t="str">
        <f>IFERROR(VLOOKUP(Template!$M34,Template!$D$3:$G$619,MATCH("EmployeeGroup",Template!$D$2:$G$2,0),FALSE),"NA")</f>
        <v>Coordenador</v>
      </c>
      <c r="AA34" s="17" t="str">
        <f>IFERROR(VLOOKUP(Template!$M34,Template!$D$3:$V$619,MATCH("Layer",Template!$D$2:$V$2,0),FALSE),"NA")</f>
        <v>N3</v>
      </c>
      <c r="AB34" s="21">
        <f>VLOOKUP(Template!$M34,Template!$D$3:$F$619,MATCH("InternalGrade",Template!$D$2:$F$2,0),FALSE)-Template!$F34</f>
        <v>2</v>
      </c>
      <c r="AC34" s="17">
        <f>IF(Template!$AB34&lt;=1, 0.8,IF(Template!$AB34=2,0.4,IF(Template!$AB34=3,0.2,IF(Template!$AB34=4,0.1,IF(Template!$AB34&gt;=5,0.05,"erro")))))</f>
        <v>0.4</v>
      </c>
      <c r="AD34" s="17" t="b">
        <f>Template!$D34=Template!$M34</f>
        <v>0</v>
      </c>
      <c r="AE34" s="12" t="s">
        <v>58</v>
      </c>
    </row>
    <row r="35" ht="15.75" customHeight="1">
      <c r="A35" s="7" t="s">
        <v>59</v>
      </c>
      <c r="B35" s="7" t="s">
        <v>71</v>
      </c>
      <c r="C35" s="7" t="s">
        <v>84</v>
      </c>
      <c r="D35" s="13">
        <v>18566.0</v>
      </c>
      <c r="E35" s="7" t="s">
        <v>116</v>
      </c>
      <c r="F35" s="13">
        <v>18.0</v>
      </c>
      <c r="G35" s="22" t="s">
        <v>87</v>
      </c>
      <c r="H35" s="7" t="s">
        <v>64</v>
      </c>
      <c r="I35" s="7" t="s">
        <v>65</v>
      </c>
      <c r="J35" s="7" t="s">
        <v>66</v>
      </c>
      <c r="K35" s="15">
        <v>43944.0</v>
      </c>
      <c r="L35" s="15">
        <v>28235.0</v>
      </c>
      <c r="M35" s="13">
        <v>23261.0</v>
      </c>
      <c r="N35" s="7">
        <v>13404.0</v>
      </c>
      <c r="O35" s="7"/>
      <c r="P35" s="7">
        <v>13.33</v>
      </c>
      <c r="Q35" s="7">
        <v>20106.0</v>
      </c>
      <c r="R35" s="20">
        <v>0.0</v>
      </c>
      <c r="S35" s="7"/>
      <c r="T35" s="20"/>
      <c r="U35" s="16">
        <f>SUM(Template!$N35:$O35)*Template!$P35+Template!$Q35</f>
        <v>198781.32</v>
      </c>
      <c r="V35" s="17" t="str">
        <f>IF(Template!$M35="CONSELHO","N",IF(Template!$AA35="N","N1",IF(Template!$AA35="N1","N2",IF(Template!$AA35="N2","N3",IF(Template!$AA35="N3","N4",IF(Template!$AA35="N4","N5",IF(Template!$AA35="N5","N6",IF(Template!$AA35="N6","N7",IF(Template!$AA35="N7","N8",IF(Template!$AA35="N8","N9",IF(Template!$AA35="N9","N10","NA")))))))))))</f>
        <v>N2</v>
      </c>
      <c r="W35" s="17">
        <f>COUNTIF(Template!$M$3:$M$619,Template!$D35)</f>
        <v>5</v>
      </c>
      <c r="X35" s="17">
        <f>IF(Template!$F35="","",SUMIF(Template!$M$3:$M$619,Template!$D35,Template!$AC$3:$AC$619))</f>
        <v>0.4</v>
      </c>
      <c r="Y35" s="17" t="str">
        <f>IFERROR(VLOOKUP(Template!$M35,Template!$D$3:$G$619,MATCH("EmployeeJobTitle",Template!$D$2:$G$2,0),FALSE),"NA")</f>
        <v>DIRETORA DE COMPRAS E LOGISTICA</v>
      </c>
      <c r="Z35" s="17" t="str">
        <f>IFERROR(VLOOKUP(Template!$M35,Template!$D$3:$G$619,MATCH("EmployeeGroup",Template!$D$2:$G$2,0),FALSE),"NA")</f>
        <v>Diretor</v>
      </c>
      <c r="AA35" s="17" t="str">
        <f>IFERROR(VLOOKUP(Template!$M35,Template!$D$3:$V$619,MATCH("Layer",Template!$D$2:$V$2,0),FALSE),"NA")</f>
        <v>N1</v>
      </c>
      <c r="AB35" s="21">
        <f>VLOOKUP(Template!$M35,Template!$D$3:$F$619,MATCH("InternalGrade",Template!$D$2:$F$2,0),FALSE)-Template!$F35</f>
        <v>3</v>
      </c>
      <c r="AC35" s="17">
        <f>IF(Template!$AB35&lt;=1, 0.8,IF(Template!$AB35=2,0.4,IF(Template!$AB35=3,0.2,IF(Template!$AB35=4,0.1,IF(Template!$AB35&gt;=5,0.05,"erro")))))</f>
        <v>0.2</v>
      </c>
      <c r="AD35" s="17" t="b">
        <f>Template!$D35=Template!$M35</f>
        <v>0</v>
      </c>
      <c r="AE35" s="12" t="s">
        <v>58</v>
      </c>
    </row>
    <row r="36" ht="15.75" customHeight="1">
      <c r="A36" s="7" t="s">
        <v>59</v>
      </c>
      <c r="B36" s="7" t="s">
        <v>71</v>
      </c>
      <c r="C36" s="7" t="s">
        <v>84</v>
      </c>
      <c r="D36" s="13">
        <v>20317.0</v>
      </c>
      <c r="E36" s="7" t="s">
        <v>117</v>
      </c>
      <c r="F36" s="13">
        <v>15.0</v>
      </c>
      <c r="G36" s="14" t="s">
        <v>63</v>
      </c>
      <c r="H36" s="7" t="s">
        <v>64</v>
      </c>
      <c r="I36" s="7" t="s">
        <v>65</v>
      </c>
      <c r="J36" s="7" t="s">
        <v>70</v>
      </c>
      <c r="K36" s="15">
        <v>44565.0</v>
      </c>
      <c r="L36" s="15">
        <v>32413.0</v>
      </c>
      <c r="M36" s="13">
        <v>17952.0</v>
      </c>
      <c r="N36" s="7">
        <v>4984.0</v>
      </c>
      <c r="O36" s="7"/>
      <c r="P36" s="7">
        <v>13.33</v>
      </c>
      <c r="Q36" s="7">
        <v>4984.0</v>
      </c>
      <c r="R36" s="20">
        <v>0.0</v>
      </c>
      <c r="S36" s="7"/>
      <c r="T36" s="20"/>
      <c r="U36" s="16">
        <f>SUM(Template!$N36:$O36)*Template!$P36+Template!$Q36</f>
        <v>71420.72</v>
      </c>
      <c r="V36" s="17" t="str">
        <f>IF(Template!$M36="CONSELHO","N",IF(Template!$AA36="N","N1",IF(Template!$AA36="N1","N2",IF(Template!$AA36="N2","N3",IF(Template!$AA36="N3","N4",IF(Template!$AA36="N4","N5",IF(Template!$AA36="N5","N6",IF(Template!$AA36="N6","N7",IF(Template!$AA36="N7","N8",IF(Template!$AA36="N8","N9",IF(Template!$AA36="N9","N10","NA")))))))))))</f>
        <v>N3</v>
      </c>
      <c r="W36" s="17">
        <f>COUNTIF(Template!$M$3:$M$619,Template!$D36)</f>
        <v>0</v>
      </c>
      <c r="X36" s="17">
        <f>IF(Template!$F36="","",SUMIF(Template!$M$3:$M$619,Template!$D36,Template!$AC$3:$AC$619))</f>
        <v>0</v>
      </c>
      <c r="Y36" s="17" t="str">
        <f>IFERROR(VLOOKUP(Template!$M36,Template!$D$3:$G$619,MATCH("EmployeeJobTitle",Template!$D$2:$G$2,0),FALSE),"NA")</f>
        <v>COORDENADOR DE PRODUTOS</v>
      </c>
      <c r="Z36" s="17" t="str">
        <f>IFERROR(VLOOKUP(Template!$M36,Template!$D$3:$G$619,MATCH("EmployeeGroup",Template!$D$2:$G$2,0),FALSE),"NA")</f>
        <v>Coordenador</v>
      </c>
      <c r="AA36" s="17" t="str">
        <f>IFERROR(VLOOKUP(Template!$M36,Template!$D$3:$V$619,MATCH("Layer",Template!$D$2:$V$2,0),FALSE),"NA")</f>
        <v>N2</v>
      </c>
      <c r="AB36" s="21">
        <f>VLOOKUP(Template!$M36,Template!$D$3:$F$619,MATCH("InternalGrade",Template!$D$2:$F$2,0),FALSE)-Template!$F36</f>
        <v>4</v>
      </c>
      <c r="AC36" s="17">
        <f>IF(Template!$AB36&lt;=1, 0.8,IF(Template!$AB36=2,0.4,IF(Template!$AB36=3,0.2,IF(Template!$AB36=4,0.1,IF(Template!$AB36&gt;=5,0.05,"erro")))))</f>
        <v>0.1</v>
      </c>
      <c r="AD36" s="17" t="b">
        <f>Template!$D36=Template!$M36</f>
        <v>0</v>
      </c>
      <c r="AE36" s="12" t="s">
        <v>58</v>
      </c>
    </row>
    <row r="37" ht="15.75" customHeight="1">
      <c r="A37" s="7" t="s">
        <v>59</v>
      </c>
      <c r="B37" s="7" t="s">
        <v>80</v>
      </c>
      <c r="C37" s="7" t="s">
        <v>103</v>
      </c>
      <c r="D37" s="13">
        <v>25332.0</v>
      </c>
      <c r="E37" s="7" t="s">
        <v>118</v>
      </c>
      <c r="F37" s="13">
        <v>15.0</v>
      </c>
      <c r="G37" s="14" t="s">
        <v>63</v>
      </c>
      <c r="H37" s="7" t="s">
        <v>64</v>
      </c>
      <c r="I37" s="7" t="s">
        <v>65</v>
      </c>
      <c r="J37" s="7" t="s">
        <v>70</v>
      </c>
      <c r="K37" s="15">
        <v>45530.0</v>
      </c>
      <c r="L37" s="15">
        <v>30958.0</v>
      </c>
      <c r="M37" s="13">
        <v>25195.0</v>
      </c>
      <c r="N37" s="7">
        <v>4749.0</v>
      </c>
      <c r="O37" s="7"/>
      <c r="P37" s="7">
        <v>13.33</v>
      </c>
      <c r="Q37" s="7">
        <v>4749.0</v>
      </c>
      <c r="R37" s="20">
        <v>0.0</v>
      </c>
      <c r="S37" s="7"/>
      <c r="T37" s="20"/>
      <c r="U37" s="16">
        <f>SUM(Template!$N37:$O37)*Template!$P37+Template!$Q37</f>
        <v>68053.17</v>
      </c>
      <c r="V37" s="17" t="str">
        <f>IF(Template!$M37="CONSELHO","N",IF(Template!$AA37="N","N1",IF(Template!$AA37="N1","N2",IF(Template!$AA37="N2","N3",IF(Template!$AA37="N3","N4",IF(Template!$AA37="N4","N5",IF(Template!$AA37="N5","N6",IF(Template!$AA37="N6","N7",IF(Template!$AA37="N7","N8",IF(Template!$AA37="N8","N9",IF(Template!$AA37="N9","N10","NA")))))))))))</f>
        <v>N3</v>
      </c>
      <c r="W37" s="17">
        <f>COUNTIF(Template!$M$3:$M$619,Template!$D37)</f>
        <v>0</v>
      </c>
      <c r="X37" s="17">
        <f>IF(Template!$F37="","",SUMIF(Template!$M$3:$M$619,Template!$D37,Template!$AC$3:$AC$619))</f>
        <v>0</v>
      </c>
      <c r="Y37" s="17" t="str">
        <f>IFERROR(VLOOKUP(Template!$M37,Template!$D$3:$G$619,MATCH("EmployeeJobTitle",Template!$D$2:$G$2,0),FALSE),"NA")</f>
        <v>GERENTE DE EXPANSÃO, IMPLANTAÇÃO E PROJETOS</v>
      </c>
      <c r="Z37" s="17" t="str">
        <f>IFERROR(VLOOKUP(Template!$M37,Template!$D$3:$G$619,MATCH("EmployeeGroup",Template!$D$2:$G$2,0),FALSE),"NA")</f>
        <v>Gerente</v>
      </c>
      <c r="AA37" s="17" t="str">
        <f>IFERROR(VLOOKUP(Template!$M37,Template!$D$3:$V$619,MATCH("Layer",Template!$D$2:$V$2,0),FALSE),"NA")</f>
        <v>N2</v>
      </c>
      <c r="AB37" s="21">
        <f>VLOOKUP(Template!$M37,Template!$D$3:$F$619,MATCH("InternalGrade",Template!$D$2:$F$2,0),FALSE)-Template!$F37</f>
        <v>5</v>
      </c>
      <c r="AC37" s="17">
        <f>IF(Template!$AB37&lt;=1, 0.8,IF(Template!$AB37=2,0.4,IF(Template!$AB37=3,0.2,IF(Template!$AB37=4,0.1,IF(Template!$AB37&gt;=5,0.05,"erro")))))</f>
        <v>0.05</v>
      </c>
      <c r="AD37" s="17" t="b">
        <f>Template!$D37=Template!$M37</f>
        <v>0</v>
      </c>
      <c r="AE37" s="12" t="s">
        <v>58</v>
      </c>
    </row>
    <row r="38" ht="15.75" customHeight="1">
      <c r="A38" s="7" t="s">
        <v>59</v>
      </c>
      <c r="B38" s="7" t="s">
        <v>75</v>
      </c>
      <c r="C38" s="7" t="s">
        <v>89</v>
      </c>
      <c r="D38" s="13">
        <v>21992.0</v>
      </c>
      <c r="E38" s="7" t="s">
        <v>90</v>
      </c>
      <c r="F38" s="13">
        <v>14.0</v>
      </c>
      <c r="G38" s="14" t="s">
        <v>63</v>
      </c>
      <c r="H38" s="7" t="s">
        <v>64</v>
      </c>
      <c r="I38" s="7" t="s">
        <v>65</v>
      </c>
      <c r="J38" s="7" t="s">
        <v>66</v>
      </c>
      <c r="K38" s="15">
        <v>44837.0</v>
      </c>
      <c r="L38" s="15">
        <v>32638.0</v>
      </c>
      <c r="M38" s="13">
        <v>23266.0</v>
      </c>
      <c r="N38" s="7">
        <v>4576.25</v>
      </c>
      <c r="O38" s="7"/>
      <c r="P38" s="7">
        <v>13.33</v>
      </c>
      <c r="Q38" s="7">
        <v>4576.25</v>
      </c>
      <c r="R38" s="20">
        <v>0.0</v>
      </c>
      <c r="S38" s="7"/>
      <c r="T38" s="20"/>
      <c r="U38" s="16">
        <f>SUM(Template!$N38:$O38)*Template!$P38+Template!$Q38</f>
        <v>65577.6625</v>
      </c>
      <c r="V38" s="17" t="str">
        <f>IF(Template!$M38="CONSELHO","N",IF(Template!$AA38="N","N1",IF(Template!$AA38="N1","N2",IF(Template!$AA38="N2","N3",IF(Template!$AA38="N3","N4",IF(Template!$AA38="N4","N5",IF(Template!$AA38="N5","N6",IF(Template!$AA38="N6","N7",IF(Template!$AA38="N7","N8",IF(Template!$AA38="N8","N9",IF(Template!$AA38="N9","N10","NA")))))))))))</f>
        <v>N3</v>
      </c>
      <c r="W38" s="17">
        <f>COUNTIF(Template!$M$3:$M$619,Template!$D38)</f>
        <v>0</v>
      </c>
      <c r="X38" s="17">
        <f>IF(Template!$F38="","",SUMIF(Template!$M$3:$M$619,Template!$D38,Template!$AC$3:$AC$619))</f>
        <v>0</v>
      </c>
      <c r="Y38" s="17" t="str">
        <f>IFERROR(VLOOKUP(Template!$M38,Template!$D$3:$G$619,MATCH("EmployeeJobTitle",Template!$D$2:$G$2,0),FALSE),"NA")</f>
        <v>GERENTE DE VM</v>
      </c>
      <c r="Z38" s="17" t="str">
        <f>IFERROR(VLOOKUP(Template!$M38,Template!$D$3:$G$619,MATCH("EmployeeGroup",Template!$D$2:$G$2,0),FALSE),"NA")</f>
        <v>Gerente</v>
      </c>
      <c r="AA38" s="17" t="str">
        <f>IFERROR(VLOOKUP(Template!$M38,Template!$D$3:$V$619,MATCH("Layer",Template!$D$2:$V$2,0),FALSE),"NA")</f>
        <v>N2</v>
      </c>
      <c r="AB38" s="21">
        <f>VLOOKUP(Template!$M38,Template!$D$3:$F$619,MATCH("InternalGrade",Template!$D$2:$F$2,0),FALSE)-Template!$F38</f>
        <v>5</v>
      </c>
      <c r="AC38" s="17">
        <f>IF(Template!$AB38&lt;=1, 0.8,IF(Template!$AB38=2,0.4,IF(Template!$AB38=3,0.2,IF(Template!$AB38=4,0.1,IF(Template!$AB38&gt;=5,0.05,"erro")))))</f>
        <v>0.05</v>
      </c>
      <c r="AD38" s="17" t="b">
        <f>Template!$D38=Template!$M38</f>
        <v>0</v>
      </c>
      <c r="AE38" s="12" t="s">
        <v>58</v>
      </c>
    </row>
    <row r="39" ht="15.75" customHeight="1">
      <c r="A39" s="7" t="s">
        <v>59</v>
      </c>
      <c r="B39" s="7" t="s">
        <v>80</v>
      </c>
      <c r="C39" s="7" t="s">
        <v>103</v>
      </c>
      <c r="D39" s="13">
        <v>20556.0</v>
      </c>
      <c r="E39" s="7" t="s">
        <v>104</v>
      </c>
      <c r="F39" s="13">
        <v>14.0</v>
      </c>
      <c r="G39" s="14" t="s">
        <v>63</v>
      </c>
      <c r="H39" s="7" t="s">
        <v>64</v>
      </c>
      <c r="I39" s="7" t="s">
        <v>65</v>
      </c>
      <c r="J39" s="7" t="s">
        <v>66</v>
      </c>
      <c r="K39" s="15">
        <v>44699.0</v>
      </c>
      <c r="L39" s="15">
        <v>35123.0</v>
      </c>
      <c r="M39" s="13">
        <v>25195.0</v>
      </c>
      <c r="N39" s="7">
        <v>3300.0</v>
      </c>
      <c r="O39" s="7"/>
      <c r="P39" s="7">
        <v>13.33</v>
      </c>
      <c r="Q39" s="7">
        <v>3300.0</v>
      </c>
      <c r="R39" s="20">
        <v>0.0</v>
      </c>
      <c r="S39" s="7"/>
      <c r="T39" s="20"/>
      <c r="U39" s="16">
        <f>SUM(Template!$N39:$O39)*Template!$P39+Template!$Q39</f>
        <v>47289</v>
      </c>
      <c r="V39" s="17" t="str">
        <f>IF(Template!$M39="CONSELHO","N",IF(Template!$AA39="N","N1",IF(Template!$AA39="N1","N2",IF(Template!$AA39="N2","N3",IF(Template!$AA39="N3","N4",IF(Template!$AA39="N4","N5",IF(Template!$AA39="N5","N6",IF(Template!$AA39="N6","N7",IF(Template!$AA39="N7","N8",IF(Template!$AA39="N8","N9",IF(Template!$AA39="N9","N10","NA")))))))))))</f>
        <v>N3</v>
      </c>
      <c r="W39" s="17">
        <f>COUNTIF(Template!$M$3:$M$619,Template!$D39)</f>
        <v>0</v>
      </c>
      <c r="X39" s="17">
        <f>IF(Template!$F39="","",SUMIF(Template!$M$3:$M$619,Template!$D39,Template!$AC$3:$AC$619))</f>
        <v>0</v>
      </c>
      <c r="Y39" s="17" t="str">
        <f>IFERROR(VLOOKUP(Template!$M39,Template!$D$3:$G$619,MATCH("EmployeeJobTitle",Template!$D$2:$G$2,0),FALSE),"NA")</f>
        <v>GERENTE DE EXPANSÃO, IMPLANTAÇÃO E PROJETOS</v>
      </c>
      <c r="Z39" s="17" t="str">
        <f>IFERROR(VLOOKUP(Template!$M39,Template!$D$3:$G$619,MATCH("EmployeeGroup",Template!$D$2:$G$2,0),FALSE),"NA")</f>
        <v>Gerente</v>
      </c>
      <c r="AA39" s="17" t="str">
        <f>IFERROR(VLOOKUP(Template!$M39,Template!$D$3:$V$619,MATCH("Layer",Template!$D$2:$V$2,0),FALSE),"NA")</f>
        <v>N2</v>
      </c>
      <c r="AB39" s="21">
        <f>VLOOKUP(Template!$M39,Template!$D$3:$F$619,MATCH("InternalGrade",Template!$D$2:$F$2,0),FALSE)-Template!$F39</f>
        <v>6</v>
      </c>
      <c r="AC39" s="17">
        <f>IF(Template!$AB39&lt;=1, 0.8,IF(Template!$AB39=2,0.4,IF(Template!$AB39=3,0.2,IF(Template!$AB39=4,0.1,IF(Template!$AB39&gt;=5,0.05,"erro")))))</f>
        <v>0.05</v>
      </c>
      <c r="AD39" s="17" t="b">
        <f>Template!$D39=Template!$M39</f>
        <v>0</v>
      </c>
      <c r="AE39" s="12" t="s">
        <v>58</v>
      </c>
    </row>
    <row r="40" ht="15.75" customHeight="1">
      <c r="A40" s="7" t="s">
        <v>59</v>
      </c>
      <c r="B40" s="7" t="s">
        <v>96</v>
      </c>
      <c r="C40" s="7" t="s">
        <v>119</v>
      </c>
      <c r="D40" s="13">
        <v>20447.0</v>
      </c>
      <c r="E40" s="7" t="s">
        <v>120</v>
      </c>
      <c r="F40" s="13">
        <v>15.0</v>
      </c>
      <c r="G40" s="14" t="s">
        <v>63</v>
      </c>
      <c r="H40" s="7" t="s">
        <v>64</v>
      </c>
      <c r="I40" s="7" t="s">
        <v>65</v>
      </c>
      <c r="J40" s="7" t="s">
        <v>70</v>
      </c>
      <c r="K40" s="15">
        <v>44655.0</v>
      </c>
      <c r="L40" s="15">
        <v>34355.0</v>
      </c>
      <c r="M40" s="13">
        <v>23262.0</v>
      </c>
      <c r="N40" s="7">
        <v>4667.34</v>
      </c>
      <c r="O40" s="7"/>
      <c r="P40" s="7">
        <v>13.33</v>
      </c>
      <c r="Q40" s="7">
        <v>4667.34</v>
      </c>
      <c r="R40" s="20">
        <v>0.0</v>
      </c>
      <c r="S40" s="7"/>
      <c r="T40" s="20"/>
      <c r="U40" s="16">
        <f>SUM(Template!$N40:$O40)*Template!$P40+Template!$Q40</f>
        <v>66882.9822</v>
      </c>
      <c r="V40" s="17" t="str">
        <f>IF(Template!$M40="CONSELHO","N",IF(Template!$AA40="N","N1",IF(Template!$AA40="N1","N2",IF(Template!$AA40="N2","N3",IF(Template!$AA40="N3","N4",IF(Template!$AA40="N4","N5",IF(Template!$AA40="N5","N6",IF(Template!$AA40="N6","N7",IF(Template!$AA40="N7","N8",IF(Template!$AA40="N8","N9",IF(Template!$AA40="N9","N10","NA")))))))))))</f>
        <v>N2</v>
      </c>
      <c r="W40" s="17">
        <f>COUNTIF(Template!$M$3:$M$619,Template!$D40)</f>
        <v>0</v>
      </c>
      <c r="X40" s="17">
        <f>IF(Template!$F40="","",SUMIF(Template!$M$3:$M$619,Template!$D40,Template!$AC$3:$AC$619))</f>
        <v>0</v>
      </c>
      <c r="Y40" s="17" t="str">
        <f>IFERROR(VLOOKUP(Template!$M40,Template!$D$3:$G$619,MATCH("EmployeeJobTitle",Template!$D$2:$G$2,0),FALSE),"NA")</f>
        <v>DIRETORA DE RECURSOS HUMANOS</v>
      </c>
      <c r="Z40" s="17" t="str">
        <f>IFERROR(VLOOKUP(Template!$M40,Template!$D$3:$G$619,MATCH("EmployeeGroup",Template!$D$2:$G$2,0),FALSE),"NA")</f>
        <v>Diretor</v>
      </c>
      <c r="AA40" s="17" t="str">
        <f>IFERROR(VLOOKUP(Template!$M40,Template!$D$3:$V$619,MATCH("Layer",Template!$D$2:$V$2,0),FALSE),"NA")</f>
        <v>N1</v>
      </c>
      <c r="AB40" s="21">
        <f>VLOOKUP(Template!$M40,Template!$D$3:$F$619,MATCH("InternalGrade",Template!$D$2:$F$2,0),FALSE)-Template!$F40</f>
        <v>6</v>
      </c>
      <c r="AC40" s="17">
        <f>IF(Template!$AB40&lt;=1, 0.8,IF(Template!$AB40=2,0.4,IF(Template!$AB40=3,0.2,IF(Template!$AB40=4,0.1,IF(Template!$AB40&gt;=5,0.05,"erro")))))</f>
        <v>0.05</v>
      </c>
      <c r="AD40" s="17" t="b">
        <f>Template!$D40=Template!$M40</f>
        <v>0</v>
      </c>
      <c r="AE40" s="12" t="s">
        <v>58</v>
      </c>
    </row>
    <row r="41" ht="15.75" customHeight="1">
      <c r="A41" s="7" t="s">
        <v>59</v>
      </c>
      <c r="B41" s="7" t="s">
        <v>96</v>
      </c>
      <c r="C41" s="7" t="s">
        <v>119</v>
      </c>
      <c r="D41" s="13">
        <v>13218.0</v>
      </c>
      <c r="E41" s="7" t="s">
        <v>121</v>
      </c>
      <c r="F41" s="13">
        <v>16.0</v>
      </c>
      <c r="G41" s="14" t="s">
        <v>63</v>
      </c>
      <c r="H41" s="7" t="s">
        <v>64</v>
      </c>
      <c r="I41" s="7" t="s">
        <v>65</v>
      </c>
      <c r="J41" s="7" t="s">
        <v>70</v>
      </c>
      <c r="K41" s="15">
        <v>41659.0</v>
      </c>
      <c r="L41" s="15">
        <v>32545.0</v>
      </c>
      <c r="M41" s="13">
        <v>23262.0</v>
      </c>
      <c r="N41" s="7">
        <v>7780.24</v>
      </c>
      <c r="O41" s="7"/>
      <c r="P41" s="7">
        <v>13.33</v>
      </c>
      <c r="Q41" s="7">
        <v>7780.24</v>
      </c>
      <c r="R41" s="20">
        <v>0.0</v>
      </c>
      <c r="S41" s="7"/>
      <c r="T41" s="20"/>
      <c r="U41" s="16">
        <f>SUM(Template!$N41:$O41)*Template!$P41+Template!$Q41</f>
        <v>111490.8392</v>
      </c>
      <c r="V41" s="17" t="str">
        <f>IF(Template!$M41="CONSELHO","N",IF(Template!$AA41="N","N1",IF(Template!$AA41="N1","N2",IF(Template!$AA41="N2","N3",IF(Template!$AA41="N3","N4",IF(Template!$AA41="N4","N5",IF(Template!$AA41="N5","N6",IF(Template!$AA41="N6","N7",IF(Template!$AA41="N7","N8",IF(Template!$AA41="N8","N9",IF(Template!$AA41="N9","N10","NA")))))))))))</f>
        <v>N2</v>
      </c>
      <c r="W41" s="17">
        <f>COUNTIF(Template!$M$3:$M$619,Template!$D41)</f>
        <v>0</v>
      </c>
      <c r="X41" s="17">
        <f>IF(Template!$F41="","",SUMIF(Template!$M$3:$M$619,Template!$D41,Template!$AC$3:$AC$619))</f>
        <v>0</v>
      </c>
      <c r="Y41" s="17" t="str">
        <f>IFERROR(VLOOKUP(Template!$M41,Template!$D$3:$G$619,MATCH("EmployeeJobTitle",Template!$D$2:$G$2,0),FALSE),"NA")</f>
        <v>DIRETORA DE RECURSOS HUMANOS</v>
      </c>
      <c r="Z41" s="17" t="str">
        <f>IFERROR(VLOOKUP(Template!$M41,Template!$D$3:$G$619,MATCH("EmployeeGroup",Template!$D$2:$G$2,0),FALSE),"NA")</f>
        <v>Diretor</v>
      </c>
      <c r="AA41" s="17" t="str">
        <f>IFERROR(VLOOKUP(Template!$M41,Template!$D$3:$V$619,MATCH("Layer",Template!$D$2:$V$2,0),FALSE),"NA")</f>
        <v>N1</v>
      </c>
      <c r="AB41" s="21">
        <f>VLOOKUP(Template!$M41,Template!$D$3:$F$619,MATCH("InternalGrade",Template!$D$2:$F$2,0),FALSE)-Template!$F41</f>
        <v>5</v>
      </c>
      <c r="AC41" s="17">
        <f>IF(Template!$AB41&lt;=1, 0.8,IF(Template!$AB41=2,0.4,IF(Template!$AB41=3,0.2,IF(Template!$AB41=4,0.1,IF(Template!$AB41&gt;=5,0.05,"erro")))))</f>
        <v>0.05</v>
      </c>
      <c r="AD41" s="17" t="b">
        <f>Template!$D41=Template!$M41</f>
        <v>0</v>
      </c>
      <c r="AE41" s="12" t="s">
        <v>58</v>
      </c>
    </row>
    <row r="42" ht="15.75" customHeight="1">
      <c r="A42" s="7" t="s">
        <v>59</v>
      </c>
      <c r="B42" s="7" t="s">
        <v>75</v>
      </c>
      <c r="C42" s="7" t="s">
        <v>76</v>
      </c>
      <c r="D42" s="13">
        <v>20594.0</v>
      </c>
      <c r="E42" s="7" t="s">
        <v>122</v>
      </c>
      <c r="F42" s="13">
        <v>13.0</v>
      </c>
      <c r="G42" s="14" t="s">
        <v>63</v>
      </c>
      <c r="H42" s="7" t="s">
        <v>64</v>
      </c>
      <c r="I42" s="7" t="s">
        <v>65</v>
      </c>
      <c r="J42" s="7" t="s">
        <v>70</v>
      </c>
      <c r="K42" s="15">
        <v>44718.0</v>
      </c>
      <c r="L42" s="15">
        <v>37665.0</v>
      </c>
      <c r="M42" s="13">
        <v>24771.0</v>
      </c>
      <c r="N42" s="7">
        <v>2140.0</v>
      </c>
      <c r="O42" s="7"/>
      <c r="P42" s="7">
        <v>13.33</v>
      </c>
      <c r="Q42" s="7">
        <v>2140.0</v>
      </c>
      <c r="R42" s="20">
        <v>0.0</v>
      </c>
      <c r="S42" s="7"/>
      <c r="T42" s="20"/>
      <c r="U42" s="16">
        <f>SUM(Template!$N42:$O42)*Template!$P42+Template!$Q42</f>
        <v>30666.2</v>
      </c>
      <c r="V42" s="17" t="str">
        <f>IF(Template!$M42="CONSELHO","N",IF(Template!$AA42="N","N1",IF(Template!$AA42="N1","N2",IF(Template!$AA42="N2","N3",IF(Template!$AA42="N3","N4",IF(Template!$AA42="N4","N5",IF(Template!$AA42="N5","N6",IF(Template!$AA42="N6","N7",IF(Template!$AA42="N7","N8",IF(Template!$AA42="N8","N9",IF(Template!$AA42="N9","N10","NA")))))))))))</f>
        <v>N4</v>
      </c>
      <c r="W42" s="17">
        <f>COUNTIF(Template!$M$3:$M$619,Template!$D42)</f>
        <v>0</v>
      </c>
      <c r="X42" s="17">
        <f>IF(Template!$F42="","",SUMIF(Template!$M$3:$M$619,Template!$D42,Template!$AC$3:$AC$619))</f>
        <v>0</v>
      </c>
      <c r="Y42" s="17" t="str">
        <f>IFERROR(VLOOKUP(Template!$M42,Template!$D$3:$G$619,MATCH("EmployeeJobTitle",Template!$D$2:$G$2,0),FALSE),"NA")</f>
        <v>COORDENADOR DE MARKETING</v>
      </c>
      <c r="Z42" s="17" t="str">
        <f>IFERROR(VLOOKUP(Template!$M42,Template!$D$3:$G$619,MATCH("EmployeeGroup",Template!$D$2:$G$2,0),FALSE),"NA")</f>
        <v>Coordenador</v>
      </c>
      <c r="AA42" s="17" t="str">
        <f>IFERROR(VLOOKUP(Template!$M42,Template!$D$3:$V$619,MATCH("Layer",Template!$D$2:$V$2,0),FALSE),"NA")</f>
        <v>N3</v>
      </c>
      <c r="AB42" s="21">
        <f>VLOOKUP(Template!$M42,Template!$D$3:$F$619,MATCH("InternalGrade",Template!$D$2:$F$2,0),FALSE)-Template!$F42</f>
        <v>5</v>
      </c>
      <c r="AC42" s="17">
        <f>IF(Template!$AB42&lt;=1, 0.8,IF(Template!$AB42=2,0.4,IF(Template!$AB42=3,0.2,IF(Template!$AB42=4,0.1,IF(Template!$AB42&gt;=5,0.05,"erro")))))</f>
        <v>0.05</v>
      </c>
      <c r="AD42" s="17" t="b">
        <f>Template!$D42=Template!$M42</f>
        <v>0</v>
      </c>
      <c r="AE42" s="12" t="s">
        <v>58</v>
      </c>
    </row>
    <row r="43" ht="15.75" customHeight="1">
      <c r="A43" s="7" t="s">
        <v>59</v>
      </c>
      <c r="B43" s="7" t="s">
        <v>80</v>
      </c>
      <c r="C43" s="7" t="s">
        <v>103</v>
      </c>
      <c r="D43" s="13">
        <v>20448.0</v>
      </c>
      <c r="E43" s="7" t="s">
        <v>123</v>
      </c>
      <c r="F43" s="13">
        <v>15.0</v>
      </c>
      <c r="G43" s="14" t="s">
        <v>63</v>
      </c>
      <c r="H43" s="7" t="s">
        <v>64</v>
      </c>
      <c r="I43" s="7" t="s">
        <v>65</v>
      </c>
      <c r="J43" s="7" t="s">
        <v>70</v>
      </c>
      <c r="K43" s="15">
        <v>44655.0</v>
      </c>
      <c r="L43" s="15">
        <v>36029.0</v>
      </c>
      <c r="M43" s="13">
        <v>25195.0</v>
      </c>
      <c r="N43" s="7">
        <v>4882.0</v>
      </c>
      <c r="O43" s="7"/>
      <c r="P43" s="7">
        <v>13.33</v>
      </c>
      <c r="Q43" s="7">
        <v>4882.0</v>
      </c>
      <c r="R43" s="20">
        <v>0.0</v>
      </c>
      <c r="S43" s="7"/>
      <c r="T43" s="20"/>
      <c r="U43" s="16">
        <f>SUM(Template!$N43:$O43)*Template!$P43+Template!$Q43</f>
        <v>69959.06</v>
      </c>
      <c r="V43" s="17" t="str">
        <f>IF(Template!$M43="CONSELHO","N",IF(Template!$AA43="N","N1",IF(Template!$AA43="N1","N2",IF(Template!$AA43="N2","N3",IF(Template!$AA43="N3","N4",IF(Template!$AA43="N4","N5",IF(Template!$AA43="N5","N6",IF(Template!$AA43="N6","N7",IF(Template!$AA43="N7","N8",IF(Template!$AA43="N8","N9",IF(Template!$AA43="N9","N10","NA")))))))))))</f>
        <v>N3</v>
      </c>
      <c r="W43" s="17">
        <f>COUNTIF(Template!$M$3:$M$619,Template!$D43)</f>
        <v>0</v>
      </c>
      <c r="X43" s="17">
        <f>IF(Template!$F43="","",SUMIF(Template!$M$3:$M$619,Template!$D43,Template!$AC$3:$AC$619))</f>
        <v>0</v>
      </c>
      <c r="Y43" s="17" t="str">
        <f>IFERROR(VLOOKUP(Template!$M43,Template!$D$3:$G$619,MATCH("EmployeeJobTitle",Template!$D$2:$G$2,0),FALSE),"NA")</f>
        <v>GERENTE DE EXPANSÃO, IMPLANTAÇÃO E PROJETOS</v>
      </c>
      <c r="Z43" s="17" t="str">
        <f>IFERROR(VLOOKUP(Template!$M43,Template!$D$3:$G$619,MATCH("EmployeeGroup",Template!$D$2:$G$2,0),FALSE),"NA")</f>
        <v>Gerente</v>
      </c>
      <c r="AA43" s="17" t="str">
        <f>IFERROR(VLOOKUP(Template!$M43,Template!$D$3:$V$619,MATCH("Layer",Template!$D$2:$V$2,0),FALSE),"NA")</f>
        <v>N2</v>
      </c>
      <c r="AB43" s="21">
        <f>VLOOKUP(Template!$M43,Template!$D$3:$F$619,MATCH("InternalGrade",Template!$D$2:$F$2,0),FALSE)-Template!$F43</f>
        <v>5</v>
      </c>
      <c r="AC43" s="17">
        <f>IF(Template!$AB43&lt;=1, 0.8,IF(Template!$AB43=2,0.4,IF(Template!$AB43=3,0.2,IF(Template!$AB43=4,0.1,IF(Template!$AB43&gt;=5,0.05,"erro")))))</f>
        <v>0.05</v>
      </c>
      <c r="AD43" s="17" t="b">
        <f>Template!$D43=Template!$M43</f>
        <v>0</v>
      </c>
      <c r="AE43" s="12" t="s">
        <v>58</v>
      </c>
    </row>
    <row r="44" ht="15.75" customHeight="1">
      <c r="A44" s="7" t="s">
        <v>59</v>
      </c>
      <c r="B44" s="7" t="s">
        <v>91</v>
      </c>
      <c r="C44" s="7" t="s">
        <v>91</v>
      </c>
      <c r="D44" s="13">
        <v>25084.0</v>
      </c>
      <c r="E44" s="7" t="s">
        <v>124</v>
      </c>
      <c r="F44" s="13">
        <v>14.0</v>
      </c>
      <c r="G44" s="14" t="s">
        <v>63</v>
      </c>
      <c r="H44" s="7" t="s">
        <v>64</v>
      </c>
      <c r="I44" s="7" t="s">
        <v>65</v>
      </c>
      <c r="J44" s="7" t="s">
        <v>66</v>
      </c>
      <c r="K44" s="15">
        <v>45439.0</v>
      </c>
      <c r="L44" s="15">
        <v>36753.0</v>
      </c>
      <c r="M44" s="13">
        <v>25348.0</v>
      </c>
      <c r="N44" s="7">
        <v>4200.0</v>
      </c>
      <c r="O44" s="7"/>
      <c r="P44" s="7">
        <v>13.33</v>
      </c>
      <c r="Q44" s="7">
        <v>4200.0</v>
      </c>
      <c r="R44" s="20">
        <v>0.0</v>
      </c>
      <c r="S44" s="7"/>
      <c r="T44" s="20"/>
      <c r="U44" s="16">
        <f>SUM(Template!$N44:$O44)*Template!$P44+Template!$Q44</f>
        <v>60186</v>
      </c>
      <c r="V44" s="17" t="str">
        <f>IF(Template!$M44="CONSELHO","N",IF(Template!$AA44="N","N1",IF(Template!$AA44="N1","N2",IF(Template!$AA44="N2","N3",IF(Template!$AA44="N3","N4",IF(Template!$AA44="N4","N5",IF(Template!$AA44="N5","N6",IF(Template!$AA44="N6","N7",IF(Template!$AA44="N7","N8",IF(Template!$AA44="N8","N9",IF(Template!$AA44="N9","N10","NA")))))))))))</f>
        <v>N3</v>
      </c>
      <c r="W44" s="17">
        <f>COUNTIF(Template!$M$3:$M$619,Template!$D44)</f>
        <v>0</v>
      </c>
      <c r="X44" s="17">
        <f>IF(Template!$F44="","",SUMIF(Template!$M$3:$M$619,Template!$D44,Template!$AC$3:$AC$619))</f>
        <v>0</v>
      </c>
      <c r="Y44" s="17" t="str">
        <f>IFERROR(VLOOKUP(Template!$M44,Template!$D$3:$G$619,MATCH("EmployeeJobTitle",Template!$D$2:$G$2,0),FALSE),"NA")</f>
        <v>COORDENADOR DE TI</v>
      </c>
      <c r="Z44" s="17" t="str">
        <f>IFERROR(VLOOKUP(Template!$M44,Template!$D$3:$G$619,MATCH("EmployeeGroup",Template!$D$2:$G$2,0),FALSE),"NA")</f>
        <v>Coordenador</v>
      </c>
      <c r="AA44" s="17" t="str">
        <f>IFERROR(VLOOKUP(Template!$M44,Template!$D$3:$V$619,MATCH("Layer",Template!$D$2:$V$2,0),FALSE),"NA")</f>
        <v>N2</v>
      </c>
      <c r="AB44" s="21">
        <f>VLOOKUP(Template!$M44,Template!$D$3:$F$619,MATCH("InternalGrade",Template!$D$2:$F$2,0),FALSE)-Template!$F44</f>
        <v>4</v>
      </c>
      <c r="AC44" s="17">
        <f>IF(Template!$AB44&lt;=1, 0.8,IF(Template!$AB44=2,0.4,IF(Template!$AB44=3,0.2,IF(Template!$AB44=4,0.1,IF(Template!$AB44&gt;=5,0.05,"erro")))))</f>
        <v>0.1</v>
      </c>
      <c r="AD44" s="17" t="b">
        <f>Template!$D44=Template!$M44</f>
        <v>0</v>
      </c>
      <c r="AE44" s="12" t="s">
        <v>58</v>
      </c>
    </row>
    <row r="45" ht="15.75" customHeight="1">
      <c r="A45" s="7" t="s">
        <v>59</v>
      </c>
      <c r="B45" s="7" t="s">
        <v>80</v>
      </c>
      <c r="C45" s="7" t="s">
        <v>94</v>
      </c>
      <c r="D45" s="13">
        <v>20535.0</v>
      </c>
      <c r="E45" s="7" t="s">
        <v>125</v>
      </c>
      <c r="F45" s="13">
        <v>15.0</v>
      </c>
      <c r="G45" s="14" t="s">
        <v>63</v>
      </c>
      <c r="H45" s="7" t="s">
        <v>64</v>
      </c>
      <c r="I45" s="7" t="s">
        <v>65</v>
      </c>
      <c r="J45" s="7" t="s">
        <v>70</v>
      </c>
      <c r="K45" s="15">
        <v>44690.0</v>
      </c>
      <c r="L45" s="15">
        <v>37081.0</v>
      </c>
      <c r="M45" s="13">
        <v>20450.0</v>
      </c>
      <c r="N45" s="7">
        <v>4608.0</v>
      </c>
      <c r="O45" s="7"/>
      <c r="P45" s="7">
        <v>13.33</v>
      </c>
      <c r="Q45" s="7">
        <v>4608.0</v>
      </c>
      <c r="R45" s="20">
        <v>0.0</v>
      </c>
      <c r="S45" s="7"/>
      <c r="T45" s="20"/>
      <c r="U45" s="16">
        <f>SUM(Template!$N45:$O45)*Template!$P45+Template!$Q45</f>
        <v>66032.64</v>
      </c>
      <c r="V45" s="17" t="str">
        <f>IF(Template!$M45="CONSELHO","N",IF(Template!$AA45="N","N1",IF(Template!$AA45="N1","N2",IF(Template!$AA45="N2","N3",IF(Template!$AA45="N3","N4",IF(Template!$AA45="N4","N5",IF(Template!$AA45="N5","N6",IF(Template!$AA45="N6","N7",IF(Template!$AA45="N7","N8",IF(Template!$AA45="N8","N9",IF(Template!$AA45="N9","N10","NA")))))))))))</f>
        <v>N3</v>
      </c>
      <c r="W45" s="17">
        <f>COUNTIF(Template!$M$3:$M$619,Template!$D45)</f>
        <v>0</v>
      </c>
      <c r="X45" s="17">
        <f>IF(Template!$F45="","",SUMIF(Template!$M$3:$M$619,Template!$D45,Template!$AC$3:$AC$619))</f>
        <v>0</v>
      </c>
      <c r="Y45" s="17" t="str">
        <f>IFERROR(VLOOKUP(Template!$M45,Template!$D$3:$G$619,MATCH("EmployeeJobTitle",Template!$D$2:$G$2,0),FALSE),"NA")</f>
        <v>COORDENADOR DE ECOMMERCE</v>
      </c>
      <c r="Z45" s="17" t="str">
        <f>IFERROR(VLOOKUP(Template!$M45,Template!$D$3:$G$619,MATCH("EmployeeGroup",Template!$D$2:$G$2,0),FALSE),"NA")</f>
        <v>Coordenador</v>
      </c>
      <c r="AA45" s="17" t="str">
        <f>IFERROR(VLOOKUP(Template!$M45,Template!$D$3:$V$619,MATCH("Layer",Template!$D$2:$V$2,0),FALSE),"NA")</f>
        <v>N2</v>
      </c>
      <c r="AB45" s="21">
        <f>VLOOKUP(Template!$M45,Template!$D$3:$F$619,MATCH("InternalGrade",Template!$D$2:$F$2,0),FALSE)-Template!$F45</f>
        <v>3</v>
      </c>
      <c r="AC45" s="17">
        <f>IF(Template!$AB45&lt;=1, 0.8,IF(Template!$AB45=2,0.4,IF(Template!$AB45=3,0.2,IF(Template!$AB45=4,0.1,IF(Template!$AB45&gt;=5,0.05,"erro")))))</f>
        <v>0.2</v>
      </c>
      <c r="AD45" s="17" t="b">
        <f>Template!$D45=Template!$M45</f>
        <v>0</v>
      </c>
      <c r="AE45" s="12" t="s">
        <v>58</v>
      </c>
    </row>
    <row r="46" ht="15.75" customHeight="1">
      <c r="A46" s="7" t="s">
        <v>59</v>
      </c>
      <c r="B46" s="7" t="s">
        <v>75</v>
      </c>
      <c r="C46" s="7" t="s">
        <v>76</v>
      </c>
      <c r="D46" s="13">
        <v>19344.0</v>
      </c>
      <c r="E46" s="7" t="s">
        <v>77</v>
      </c>
      <c r="F46" s="13">
        <v>15.0</v>
      </c>
      <c r="G46" s="14" t="s">
        <v>63</v>
      </c>
      <c r="H46" s="7" t="s">
        <v>64</v>
      </c>
      <c r="I46" s="7" t="s">
        <v>65</v>
      </c>
      <c r="J46" s="7" t="s">
        <v>70</v>
      </c>
      <c r="K46" s="15">
        <v>44228.0</v>
      </c>
      <c r="L46" s="15">
        <v>33768.0</v>
      </c>
      <c r="M46" s="13">
        <v>24771.0</v>
      </c>
      <c r="N46" s="7">
        <v>4952.0</v>
      </c>
      <c r="O46" s="7"/>
      <c r="P46" s="7">
        <v>13.33</v>
      </c>
      <c r="Q46" s="7">
        <v>4952.0</v>
      </c>
      <c r="R46" s="20">
        <v>0.0</v>
      </c>
      <c r="S46" s="7"/>
      <c r="T46" s="20"/>
      <c r="U46" s="16">
        <f>SUM(Template!$N46:$O46)*Template!$P46+Template!$Q46</f>
        <v>70962.16</v>
      </c>
      <c r="V46" s="17" t="str">
        <f>IF(Template!$M46="CONSELHO","N",IF(Template!$AA46="N","N1",IF(Template!$AA46="N1","N2",IF(Template!$AA46="N2","N3",IF(Template!$AA46="N3","N4",IF(Template!$AA46="N4","N5",IF(Template!$AA46="N5","N6",IF(Template!$AA46="N6","N7",IF(Template!$AA46="N7","N8",IF(Template!$AA46="N8","N9",IF(Template!$AA46="N9","N10","NA")))))))))))</f>
        <v>N4</v>
      </c>
      <c r="W46" s="17">
        <f>COUNTIF(Template!$M$3:$M$619,Template!$D46)</f>
        <v>0</v>
      </c>
      <c r="X46" s="17">
        <f>IF(Template!$F46="","",SUMIF(Template!$M$3:$M$619,Template!$D46,Template!$AC$3:$AC$619))</f>
        <v>0</v>
      </c>
      <c r="Y46" s="17" t="str">
        <f>IFERROR(VLOOKUP(Template!$M46,Template!$D$3:$G$619,MATCH("EmployeeJobTitle",Template!$D$2:$G$2,0),FALSE),"NA")</f>
        <v>COORDENADOR DE MARKETING</v>
      </c>
      <c r="Z46" s="17" t="str">
        <f>IFERROR(VLOOKUP(Template!$M46,Template!$D$3:$G$619,MATCH("EmployeeGroup",Template!$D$2:$G$2,0),FALSE),"NA")</f>
        <v>Coordenador</v>
      </c>
      <c r="AA46" s="17" t="str">
        <f>IFERROR(VLOOKUP(Template!$M46,Template!$D$3:$V$619,MATCH("Layer",Template!$D$2:$V$2,0),FALSE),"NA")</f>
        <v>N3</v>
      </c>
      <c r="AB46" s="21">
        <f>VLOOKUP(Template!$M46,Template!$D$3:$F$619,MATCH("InternalGrade",Template!$D$2:$F$2,0),FALSE)-Template!$F46</f>
        <v>3</v>
      </c>
      <c r="AC46" s="17">
        <f>IF(Template!$AB46&lt;=1, 0.8,IF(Template!$AB46=2,0.4,IF(Template!$AB46=3,0.2,IF(Template!$AB46=4,0.1,IF(Template!$AB46&gt;=5,0.05,"erro")))))</f>
        <v>0.2</v>
      </c>
      <c r="AD46" s="17" t="b">
        <f>Template!$D46=Template!$M46</f>
        <v>0</v>
      </c>
      <c r="AE46" s="12" t="s">
        <v>58</v>
      </c>
    </row>
    <row r="47" ht="15.75" customHeight="1">
      <c r="A47" s="7" t="s">
        <v>59</v>
      </c>
      <c r="B47" s="7" t="s">
        <v>80</v>
      </c>
      <c r="C47" s="7" t="s">
        <v>94</v>
      </c>
      <c r="D47" s="13">
        <v>24218.0</v>
      </c>
      <c r="E47" s="7" t="s">
        <v>126</v>
      </c>
      <c r="F47" s="13">
        <v>15.0</v>
      </c>
      <c r="G47" s="14" t="s">
        <v>63</v>
      </c>
      <c r="H47" s="7" t="s">
        <v>64</v>
      </c>
      <c r="I47" s="7" t="s">
        <v>65</v>
      </c>
      <c r="J47" s="7" t="s">
        <v>66</v>
      </c>
      <c r="K47" s="15">
        <v>45152.0</v>
      </c>
      <c r="L47" s="15">
        <v>36125.0</v>
      </c>
      <c r="M47" s="13">
        <v>20450.0</v>
      </c>
      <c r="N47" s="7">
        <v>4593.0</v>
      </c>
      <c r="O47" s="7"/>
      <c r="P47" s="7">
        <v>13.33</v>
      </c>
      <c r="Q47" s="7">
        <v>4593.0</v>
      </c>
      <c r="R47" s="20">
        <v>0.0</v>
      </c>
      <c r="S47" s="7"/>
      <c r="T47" s="20"/>
      <c r="U47" s="16">
        <f>SUM(Template!$N47:$O47)*Template!$P47+Template!$Q47</f>
        <v>65817.69</v>
      </c>
      <c r="V47" s="17" t="str">
        <f>IF(Template!$M47="CONSELHO","N",IF(Template!$AA47="N","N1",IF(Template!$AA47="N1","N2",IF(Template!$AA47="N2","N3",IF(Template!$AA47="N3","N4",IF(Template!$AA47="N4","N5",IF(Template!$AA47="N5","N6",IF(Template!$AA47="N6","N7",IF(Template!$AA47="N7","N8",IF(Template!$AA47="N8","N9",IF(Template!$AA47="N9","N10","NA")))))))))))</f>
        <v>N3</v>
      </c>
      <c r="W47" s="17">
        <f>COUNTIF(Template!$M$3:$M$619,Template!$D47)</f>
        <v>0</v>
      </c>
      <c r="X47" s="17">
        <f>IF(Template!$F47="","",SUMIF(Template!$M$3:$M$619,Template!$D47,Template!$AC$3:$AC$619))</f>
        <v>0</v>
      </c>
      <c r="Y47" s="17" t="str">
        <f>IFERROR(VLOOKUP(Template!$M47,Template!$D$3:$G$619,MATCH("EmployeeJobTitle",Template!$D$2:$G$2,0),FALSE),"NA")</f>
        <v>COORDENADOR DE ECOMMERCE</v>
      </c>
      <c r="Z47" s="17" t="str">
        <f>IFERROR(VLOOKUP(Template!$M47,Template!$D$3:$G$619,MATCH("EmployeeGroup",Template!$D$2:$G$2,0),FALSE),"NA")</f>
        <v>Coordenador</v>
      </c>
      <c r="AA47" s="17" t="str">
        <f>IFERROR(VLOOKUP(Template!$M47,Template!$D$3:$V$619,MATCH("Layer",Template!$D$2:$V$2,0),FALSE),"NA")</f>
        <v>N2</v>
      </c>
      <c r="AB47" s="21">
        <f>VLOOKUP(Template!$M47,Template!$D$3:$F$619,MATCH("InternalGrade",Template!$D$2:$F$2,0),FALSE)-Template!$F47</f>
        <v>3</v>
      </c>
      <c r="AC47" s="17">
        <f>IF(Template!$AB47&lt;=1, 0.8,IF(Template!$AB47=2,0.4,IF(Template!$AB47=3,0.2,IF(Template!$AB47=4,0.1,IF(Template!$AB47&gt;=5,0.05,"erro")))))</f>
        <v>0.2</v>
      </c>
      <c r="AD47" s="17" t="b">
        <f>Template!$D47=Template!$M47</f>
        <v>0</v>
      </c>
      <c r="AE47" s="12" t="s">
        <v>58</v>
      </c>
    </row>
    <row r="48" ht="15.75" customHeight="1">
      <c r="A48" s="7" t="s">
        <v>59</v>
      </c>
      <c r="B48" s="7" t="s">
        <v>67</v>
      </c>
      <c r="C48" s="7" t="s">
        <v>68</v>
      </c>
      <c r="D48" s="13">
        <v>24028.0</v>
      </c>
      <c r="E48" s="7" t="s">
        <v>74</v>
      </c>
      <c r="F48" s="13">
        <v>13.0</v>
      </c>
      <c r="G48" s="14" t="s">
        <v>63</v>
      </c>
      <c r="H48" s="7" t="s">
        <v>64</v>
      </c>
      <c r="I48" s="7" t="s">
        <v>65</v>
      </c>
      <c r="J48" s="7" t="s">
        <v>70</v>
      </c>
      <c r="K48" s="15">
        <v>45061.0</v>
      </c>
      <c r="L48" s="15">
        <v>36988.0</v>
      </c>
      <c r="M48" s="13">
        <v>23265.0</v>
      </c>
      <c r="N48" s="7">
        <v>2985.0</v>
      </c>
      <c r="O48" s="7"/>
      <c r="P48" s="7">
        <v>13.33</v>
      </c>
      <c r="Q48" s="7">
        <v>2985.0</v>
      </c>
      <c r="R48" s="20">
        <v>0.0</v>
      </c>
      <c r="S48" s="7"/>
      <c r="T48" s="20"/>
      <c r="U48" s="16">
        <f>SUM(Template!$N48:$O48)*Template!$P48+Template!$Q48</f>
        <v>42775.05</v>
      </c>
      <c r="V48" s="17" t="str">
        <f>IF(Template!$M48="CONSELHO","N",IF(Template!$AA48="N","N1",IF(Template!$AA48="N1","N2",IF(Template!$AA48="N2","N3",IF(Template!$AA48="N3","N4",IF(Template!$AA48="N4","N5",IF(Template!$AA48="N5","N6",IF(Template!$AA48="N6","N7",IF(Template!$AA48="N7","N8",IF(Template!$AA48="N8","N9",IF(Template!$AA48="N9","N10","NA")))))))))))</f>
        <v>N2</v>
      </c>
      <c r="W48" s="17">
        <f>COUNTIF(Template!$M$3:$M$619,Template!$D48)</f>
        <v>0</v>
      </c>
      <c r="X48" s="17">
        <f>IF(Template!$F48="","",SUMIF(Template!$M$3:$M$619,Template!$D48,Template!$AC$3:$AC$619))</f>
        <v>0</v>
      </c>
      <c r="Y48" s="17" t="str">
        <f>IFERROR(VLOOKUP(Template!$M48,Template!$D$3:$G$619,MATCH("EmployeeJobTitle",Template!$D$2:$G$2,0),FALSE),"NA")</f>
        <v>DIRETORA DE PRODUTO E ESTILO</v>
      </c>
      <c r="Z48" s="17" t="str">
        <f>IFERROR(VLOOKUP(Template!$M48,Template!$D$3:$G$619,MATCH("EmployeeGroup",Template!$D$2:$G$2,0),FALSE),"NA")</f>
        <v>Diretor</v>
      </c>
      <c r="AA48" s="17" t="str">
        <f>IFERROR(VLOOKUP(Template!$M48,Template!$D$3:$V$619,MATCH("Layer",Template!$D$2:$V$2,0),FALSE),"NA")</f>
        <v>N1</v>
      </c>
      <c r="AB48" s="21">
        <f>VLOOKUP(Template!$M48,Template!$D$3:$F$619,MATCH("InternalGrade",Template!$D$2:$F$2,0),FALSE)-Template!$F48</f>
        <v>8</v>
      </c>
      <c r="AC48" s="17">
        <f>IF(Template!$AB48&lt;=1, 0.8,IF(Template!$AB48=2,0.4,IF(Template!$AB48=3,0.2,IF(Template!$AB48=4,0.1,IF(Template!$AB48&gt;=5,0.05,"erro")))))</f>
        <v>0.05</v>
      </c>
      <c r="AD48" s="17" t="b">
        <f>Template!$D48=Template!$M48</f>
        <v>0</v>
      </c>
      <c r="AE48" s="12" t="s">
        <v>58</v>
      </c>
    </row>
    <row r="49" ht="15.75" customHeight="1">
      <c r="A49" s="7" t="s">
        <v>59</v>
      </c>
      <c r="B49" s="7" t="s">
        <v>71</v>
      </c>
      <c r="C49" s="7" t="s">
        <v>84</v>
      </c>
      <c r="D49" s="13">
        <v>20916.0</v>
      </c>
      <c r="E49" s="7" t="s">
        <v>127</v>
      </c>
      <c r="F49" s="13">
        <v>15.0</v>
      </c>
      <c r="G49" s="14" t="s">
        <v>63</v>
      </c>
      <c r="H49" s="7" t="s">
        <v>64</v>
      </c>
      <c r="I49" s="7" t="s">
        <v>65</v>
      </c>
      <c r="J49" s="7" t="s">
        <v>70</v>
      </c>
      <c r="K49" s="15">
        <v>44746.0</v>
      </c>
      <c r="L49" s="15">
        <v>33168.0</v>
      </c>
      <c r="M49" s="13">
        <v>18566.0</v>
      </c>
      <c r="N49" s="7">
        <v>5308.0</v>
      </c>
      <c r="O49" s="7"/>
      <c r="P49" s="7">
        <v>13.33</v>
      </c>
      <c r="Q49" s="7">
        <v>5308.0</v>
      </c>
      <c r="R49" s="20">
        <v>0.0</v>
      </c>
      <c r="S49" s="7"/>
      <c r="T49" s="20"/>
      <c r="U49" s="16">
        <f>SUM(Template!$N49:$O49)*Template!$P49+Template!$Q49</f>
        <v>76063.64</v>
      </c>
      <c r="V49" s="17" t="str">
        <f>IF(Template!$M49="CONSELHO","N",IF(Template!$AA49="N","N1",IF(Template!$AA49="N1","N2",IF(Template!$AA49="N2","N3",IF(Template!$AA49="N3","N4",IF(Template!$AA49="N4","N5",IF(Template!$AA49="N5","N6",IF(Template!$AA49="N6","N7",IF(Template!$AA49="N7","N8",IF(Template!$AA49="N8","N9",IF(Template!$AA49="N9","N10","NA")))))))))))</f>
        <v>N3</v>
      </c>
      <c r="W49" s="17">
        <f>COUNTIF(Template!$M$3:$M$619,Template!$D49)</f>
        <v>0</v>
      </c>
      <c r="X49" s="17">
        <f>IF(Template!$F49="","",SUMIF(Template!$M$3:$M$619,Template!$D49,Template!$AC$3:$AC$619))</f>
        <v>0</v>
      </c>
      <c r="Y49" s="17" t="str">
        <f>IFERROR(VLOOKUP(Template!$M49,Template!$D$3:$G$619,MATCH("EmployeeJobTitle",Template!$D$2:$G$2,0),FALSE),"NA")</f>
        <v>COORDENADOR DE COMPRAS</v>
      </c>
      <c r="Z49" s="17" t="str">
        <f>IFERROR(VLOOKUP(Template!$M49,Template!$D$3:$G$619,MATCH("EmployeeGroup",Template!$D$2:$G$2,0),FALSE),"NA")</f>
        <v>Coordenador</v>
      </c>
      <c r="AA49" s="17" t="str">
        <f>IFERROR(VLOOKUP(Template!$M49,Template!$D$3:$V$619,MATCH("Layer",Template!$D$2:$V$2,0),FALSE),"NA")</f>
        <v>N2</v>
      </c>
      <c r="AB49" s="21">
        <f>VLOOKUP(Template!$M49,Template!$D$3:$F$619,MATCH("InternalGrade",Template!$D$2:$F$2,0),FALSE)-Template!$F49</f>
        <v>3</v>
      </c>
      <c r="AC49" s="17">
        <f>IF(Template!$AB49&lt;=1, 0.8,IF(Template!$AB49=2,0.4,IF(Template!$AB49=3,0.2,IF(Template!$AB49=4,0.1,IF(Template!$AB49&gt;=5,0.05,"erro")))))</f>
        <v>0.2</v>
      </c>
      <c r="AD49" s="17" t="b">
        <f>Template!$D49=Template!$M49</f>
        <v>0</v>
      </c>
      <c r="AE49" s="12" t="s">
        <v>58</v>
      </c>
    </row>
    <row r="50" ht="15.75" customHeight="1">
      <c r="A50" s="7" t="s">
        <v>59</v>
      </c>
      <c r="B50" s="7" t="s">
        <v>71</v>
      </c>
      <c r="C50" s="7" t="s">
        <v>84</v>
      </c>
      <c r="D50" s="13">
        <v>16549.0</v>
      </c>
      <c r="E50" s="7" t="s">
        <v>69</v>
      </c>
      <c r="F50" s="13">
        <v>13.0</v>
      </c>
      <c r="G50" s="14" t="s">
        <v>63</v>
      </c>
      <c r="H50" s="7" t="s">
        <v>64</v>
      </c>
      <c r="I50" s="7" t="s">
        <v>65</v>
      </c>
      <c r="J50" s="7" t="s">
        <v>70</v>
      </c>
      <c r="K50" s="15">
        <v>43070.0</v>
      </c>
      <c r="L50" s="15">
        <v>31871.0</v>
      </c>
      <c r="M50" s="13">
        <v>18566.0</v>
      </c>
      <c r="N50" s="7">
        <v>2810.0</v>
      </c>
      <c r="O50" s="7"/>
      <c r="P50" s="7">
        <v>13.33</v>
      </c>
      <c r="Q50" s="7">
        <v>2810.0</v>
      </c>
      <c r="R50" s="20">
        <v>0.0</v>
      </c>
      <c r="S50" s="7"/>
      <c r="T50" s="20"/>
      <c r="U50" s="16">
        <f>SUM(Template!$N50:$O50)*Template!$P50+Template!$Q50</f>
        <v>40267.3</v>
      </c>
      <c r="V50" s="17" t="str">
        <f>IF(Template!$M50="CONSELHO","N",IF(Template!$AA50="N","N1",IF(Template!$AA50="N1","N2",IF(Template!$AA50="N2","N3",IF(Template!$AA50="N3","N4",IF(Template!$AA50="N4","N5",IF(Template!$AA50="N5","N6",IF(Template!$AA50="N6","N7",IF(Template!$AA50="N7","N8",IF(Template!$AA50="N8","N9",IF(Template!$AA50="N9","N10","NA")))))))))))</f>
        <v>N3</v>
      </c>
      <c r="W50" s="17">
        <f>COUNTIF(Template!$M$3:$M$619,Template!$D50)</f>
        <v>0</v>
      </c>
      <c r="X50" s="17">
        <f>IF(Template!$F50="","",SUMIF(Template!$M$3:$M$619,Template!$D50,Template!$AC$3:$AC$619))</f>
        <v>0</v>
      </c>
      <c r="Y50" s="17" t="str">
        <f>IFERROR(VLOOKUP(Template!$M50,Template!$D$3:$G$619,MATCH("EmployeeJobTitle",Template!$D$2:$G$2,0),FALSE),"NA")</f>
        <v>COORDENADOR DE COMPRAS</v>
      </c>
      <c r="Z50" s="17" t="str">
        <f>IFERROR(VLOOKUP(Template!$M50,Template!$D$3:$G$619,MATCH("EmployeeGroup",Template!$D$2:$G$2,0),FALSE),"NA")</f>
        <v>Coordenador</v>
      </c>
      <c r="AA50" s="17" t="str">
        <f>IFERROR(VLOOKUP(Template!$M50,Template!$D$3:$V$619,MATCH("Layer",Template!$D$2:$V$2,0),FALSE),"NA")</f>
        <v>N2</v>
      </c>
      <c r="AB50" s="21">
        <f>VLOOKUP(Template!$M50,Template!$D$3:$F$619,MATCH("InternalGrade",Template!$D$2:$F$2,0),FALSE)-Template!$F50</f>
        <v>5</v>
      </c>
      <c r="AC50" s="17">
        <f>IF(Template!$AB50&lt;=1, 0.8,IF(Template!$AB50=2,0.4,IF(Template!$AB50=3,0.2,IF(Template!$AB50=4,0.1,IF(Template!$AB50&gt;=5,0.05,"erro")))))</f>
        <v>0.05</v>
      </c>
      <c r="AD50" s="17" t="b">
        <f>Template!$D50=Template!$M50</f>
        <v>0</v>
      </c>
      <c r="AE50" s="12" t="s">
        <v>58</v>
      </c>
    </row>
    <row r="51" ht="15.75" customHeight="1">
      <c r="A51" s="7" t="s">
        <v>59</v>
      </c>
      <c r="B51" s="7" t="s">
        <v>60</v>
      </c>
      <c r="C51" s="7" t="s">
        <v>128</v>
      </c>
      <c r="D51" s="13">
        <v>24245.0</v>
      </c>
      <c r="E51" s="7" t="s">
        <v>129</v>
      </c>
      <c r="F51" s="13">
        <v>19.0</v>
      </c>
      <c r="G51" s="22" t="s">
        <v>111</v>
      </c>
      <c r="H51" s="7" t="s">
        <v>64</v>
      </c>
      <c r="I51" s="7" t="s">
        <v>65</v>
      </c>
      <c r="J51" s="7" t="s">
        <v>70</v>
      </c>
      <c r="K51" s="15">
        <v>45166.0</v>
      </c>
      <c r="L51" s="15">
        <v>31798.0</v>
      </c>
      <c r="M51" s="13">
        <v>23257.0</v>
      </c>
      <c r="N51" s="7">
        <v>18400.0</v>
      </c>
      <c r="O51" s="7"/>
      <c r="P51" s="7">
        <v>13.33</v>
      </c>
      <c r="Q51" s="7">
        <v>55200.0</v>
      </c>
      <c r="R51" s="20">
        <v>0.0</v>
      </c>
      <c r="S51" s="7"/>
      <c r="T51" s="20"/>
      <c r="U51" s="16">
        <f>SUM(Template!$N51:$O51)*Template!$P51+Template!$Q51</f>
        <v>300472</v>
      </c>
      <c r="V51" s="17" t="str">
        <f>IF(Template!$M51="CONSELHO","N",IF(Template!$AA51="N","N1",IF(Template!$AA51="N1","N2",IF(Template!$AA51="N2","N3",IF(Template!$AA51="N3","N4",IF(Template!$AA51="N4","N5",IF(Template!$AA51="N5","N6",IF(Template!$AA51="N6","N7",IF(Template!$AA51="N7","N8",IF(Template!$AA51="N8","N9",IF(Template!$AA51="N9","N10","NA")))))))))))</f>
        <v>N2</v>
      </c>
      <c r="W51" s="17">
        <f>COUNTIF(Template!$M$3:$M$619,Template!$D51)</f>
        <v>3</v>
      </c>
      <c r="X51" s="17">
        <f>IF(Template!$F51="","",SUMIF(Template!$M$3:$M$619,Template!$D51,Template!$AC$3:$AC$619))</f>
        <v>0.35</v>
      </c>
      <c r="Y51" s="17" t="str">
        <f>IFERROR(VLOOKUP(Template!$M51,Template!$D$3:$G$619,MATCH("EmployeeJobTitle",Template!$D$2:$G$2,0),FALSE),"NA")</f>
        <v>DIRETOR FINANCEIRO</v>
      </c>
      <c r="Z51" s="17" t="str">
        <f>IFERROR(VLOOKUP(Template!$M51,Template!$D$3:$G$619,MATCH("EmployeeGroup",Template!$D$2:$G$2,0),FALSE),"NA")</f>
        <v>Diretor</v>
      </c>
      <c r="AA51" s="17" t="str">
        <f>IFERROR(VLOOKUP(Template!$M51,Template!$D$3:$V$619,MATCH("Layer",Template!$D$2:$V$2,0),FALSE),"NA")</f>
        <v>N1</v>
      </c>
      <c r="AB51" s="21">
        <f>VLOOKUP(Template!$M51,Template!$D$3:$F$619,MATCH("InternalGrade",Template!$D$2:$F$2,0),FALSE)-Template!$F51</f>
        <v>3</v>
      </c>
      <c r="AC51" s="17">
        <f>IF(Template!$AB51&lt;=1, 0.8,IF(Template!$AB51=2,0.4,IF(Template!$AB51=3,0.2,IF(Template!$AB51=4,0.1,IF(Template!$AB51&gt;=5,0.05,"erro")))))</f>
        <v>0.2</v>
      </c>
      <c r="AD51" s="17" t="b">
        <f>Template!$D51=Template!$M51</f>
        <v>0</v>
      </c>
      <c r="AE51" s="12" t="s">
        <v>58</v>
      </c>
    </row>
    <row r="52" ht="15.75" customHeight="1">
      <c r="A52" s="7" t="s">
        <v>59</v>
      </c>
      <c r="B52" s="7" t="s">
        <v>71</v>
      </c>
      <c r="C52" s="7" t="s">
        <v>84</v>
      </c>
      <c r="D52" s="13">
        <v>18375.0</v>
      </c>
      <c r="E52" s="7" t="s">
        <v>130</v>
      </c>
      <c r="F52" s="13">
        <v>19.0</v>
      </c>
      <c r="G52" s="22" t="s">
        <v>87</v>
      </c>
      <c r="H52" s="7" t="s">
        <v>64</v>
      </c>
      <c r="I52" s="7" t="s">
        <v>65</v>
      </c>
      <c r="J52" s="7" t="s">
        <v>70</v>
      </c>
      <c r="K52" s="15">
        <v>43864.0</v>
      </c>
      <c r="L52" s="15">
        <v>29293.0</v>
      </c>
      <c r="M52" s="13">
        <v>23261.0</v>
      </c>
      <c r="N52" s="7">
        <v>17015.0</v>
      </c>
      <c r="O52" s="7"/>
      <c r="P52" s="7">
        <v>13.33</v>
      </c>
      <c r="Q52" s="7">
        <v>25522.5</v>
      </c>
      <c r="R52" s="20">
        <v>0.0</v>
      </c>
      <c r="S52" s="7"/>
      <c r="T52" s="20"/>
      <c r="U52" s="16">
        <f>SUM(Template!$N52:$O52)*Template!$P52+Template!$Q52</f>
        <v>252332.45</v>
      </c>
      <c r="V52" s="17" t="str">
        <f>IF(Template!$M52="CONSELHO","N",IF(Template!$AA52="N","N1",IF(Template!$AA52="N1","N2",IF(Template!$AA52="N2","N3",IF(Template!$AA52="N3","N4",IF(Template!$AA52="N4","N5",IF(Template!$AA52="N5","N6",IF(Template!$AA52="N6","N7",IF(Template!$AA52="N7","N8",IF(Template!$AA52="N8","N9",IF(Template!$AA52="N9","N10","NA")))))))))))</f>
        <v>N2</v>
      </c>
      <c r="W52" s="17">
        <f>COUNTIF(Template!$M$3:$M$619,Template!$D52)</f>
        <v>0</v>
      </c>
      <c r="X52" s="17">
        <f>IF(Template!$F52="","",SUMIF(Template!$M$3:$M$619,Template!$D52,Template!$AC$3:$AC$619))</f>
        <v>0</v>
      </c>
      <c r="Y52" s="17" t="str">
        <f>IFERROR(VLOOKUP(Template!$M52,Template!$D$3:$G$619,MATCH("EmployeeJobTitle",Template!$D$2:$G$2,0),FALSE),"NA")</f>
        <v>DIRETORA DE COMPRAS E LOGISTICA</v>
      </c>
      <c r="Z52" s="17" t="str">
        <f>IFERROR(VLOOKUP(Template!$M52,Template!$D$3:$G$619,MATCH("EmployeeGroup",Template!$D$2:$G$2,0),FALSE),"NA")</f>
        <v>Diretor</v>
      </c>
      <c r="AA52" s="17" t="str">
        <f>IFERROR(VLOOKUP(Template!$M52,Template!$D$3:$V$619,MATCH("Layer",Template!$D$2:$V$2,0),FALSE),"NA")</f>
        <v>N1</v>
      </c>
      <c r="AB52" s="21">
        <f>VLOOKUP(Template!$M52,Template!$D$3:$F$619,MATCH("InternalGrade",Template!$D$2:$F$2,0),FALSE)-Template!$F52</f>
        <v>2</v>
      </c>
      <c r="AC52" s="17">
        <f>IF(Template!$AB52&lt;=1, 0.8,IF(Template!$AB52=2,0.4,IF(Template!$AB52=3,0.2,IF(Template!$AB52=4,0.1,IF(Template!$AB52&gt;=5,0.05,"erro")))))</f>
        <v>0.4</v>
      </c>
      <c r="AD52" s="17" t="b">
        <f>Template!$D52=Template!$M52</f>
        <v>0</v>
      </c>
      <c r="AE52" s="12" t="s">
        <v>58</v>
      </c>
    </row>
    <row r="53" ht="15.75" customHeight="1">
      <c r="A53" s="7" t="s">
        <v>59</v>
      </c>
      <c r="B53" s="7" t="s">
        <v>60</v>
      </c>
      <c r="C53" s="7" t="s">
        <v>99</v>
      </c>
      <c r="D53" s="13">
        <v>20675.0</v>
      </c>
      <c r="E53" s="7" t="s">
        <v>131</v>
      </c>
      <c r="F53" s="13">
        <v>16.0</v>
      </c>
      <c r="G53" s="14" t="s">
        <v>63</v>
      </c>
      <c r="H53" s="7" t="s">
        <v>64</v>
      </c>
      <c r="I53" s="7" t="s">
        <v>65</v>
      </c>
      <c r="J53" s="7" t="s">
        <v>70</v>
      </c>
      <c r="K53" s="15">
        <v>44725.0</v>
      </c>
      <c r="L53" s="15">
        <v>32037.0</v>
      </c>
      <c r="M53" s="13">
        <v>11398.0</v>
      </c>
      <c r="N53" s="7">
        <v>7116.0</v>
      </c>
      <c r="O53" s="7"/>
      <c r="P53" s="7">
        <v>13.33</v>
      </c>
      <c r="Q53" s="7">
        <v>7116.0</v>
      </c>
      <c r="R53" s="20">
        <v>0.0</v>
      </c>
      <c r="S53" s="7"/>
      <c r="T53" s="20"/>
      <c r="U53" s="16">
        <f>SUM(Template!$N53:$O53)*Template!$P53+Template!$Q53</f>
        <v>101972.28</v>
      </c>
      <c r="V53" s="17" t="str">
        <f>IF(Template!$M53="CONSELHO","N",IF(Template!$AA53="N","N1",IF(Template!$AA53="N1","N2",IF(Template!$AA53="N2","N3",IF(Template!$AA53="N3","N4",IF(Template!$AA53="N4","N5",IF(Template!$AA53="N5","N6",IF(Template!$AA53="N6","N7",IF(Template!$AA53="N7","N8",IF(Template!$AA53="N8","N9",IF(Template!$AA53="N9","N10","NA")))))))))))</f>
        <v>N4</v>
      </c>
      <c r="W53" s="17">
        <f>COUNTIF(Template!$M$3:$M$619,Template!$D53)</f>
        <v>0</v>
      </c>
      <c r="X53" s="17">
        <f>IF(Template!$F53="","",SUMIF(Template!$M$3:$M$619,Template!$D53,Template!$AC$3:$AC$619))</f>
        <v>0</v>
      </c>
      <c r="Y53" s="17" t="str">
        <f>IFERROR(VLOOKUP(Template!$M53,Template!$D$3:$G$619,MATCH("EmployeeJobTitle",Template!$D$2:$G$2,0),FALSE),"NA")</f>
        <v>COORDENADOR FISCAL</v>
      </c>
      <c r="Z53" s="17" t="str">
        <f>IFERROR(VLOOKUP(Template!$M53,Template!$D$3:$G$619,MATCH("EmployeeGroup",Template!$D$2:$G$2,0),FALSE),"NA")</f>
        <v>Coordenador</v>
      </c>
      <c r="AA53" s="17" t="str">
        <f>IFERROR(VLOOKUP(Template!$M53,Template!$D$3:$V$619,MATCH("Layer",Template!$D$2:$V$2,0),FALSE),"NA")</f>
        <v>N3</v>
      </c>
      <c r="AB53" s="21">
        <f>VLOOKUP(Template!$M53,Template!$D$3:$F$619,MATCH("InternalGrade",Template!$D$2:$F$2,0),FALSE)-Template!$F53</f>
        <v>2</v>
      </c>
      <c r="AC53" s="17">
        <f>IF(Template!$AB53&lt;=1, 0.8,IF(Template!$AB53=2,0.4,IF(Template!$AB53=3,0.2,IF(Template!$AB53=4,0.1,IF(Template!$AB53&gt;=5,0.05,"erro")))))</f>
        <v>0.4</v>
      </c>
      <c r="AD53" s="17" t="b">
        <f>Template!$D53=Template!$M53</f>
        <v>0</v>
      </c>
      <c r="AE53" s="12" t="s">
        <v>58</v>
      </c>
    </row>
    <row r="54" ht="15.75" customHeight="1">
      <c r="A54" s="7" t="s">
        <v>59</v>
      </c>
      <c r="B54" s="7" t="s">
        <v>67</v>
      </c>
      <c r="C54" s="7" t="s">
        <v>68</v>
      </c>
      <c r="D54" s="13">
        <v>17752.0</v>
      </c>
      <c r="E54" s="7" t="s">
        <v>132</v>
      </c>
      <c r="F54" s="13">
        <v>17.0</v>
      </c>
      <c r="G54" s="14" t="s">
        <v>63</v>
      </c>
      <c r="H54" s="7" t="s">
        <v>64</v>
      </c>
      <c r="I54" s="7" t="s">
        <v>65</v>
      </c>
      <c r="J54" s="7" t="s">
        <v>70</v>
      </c>
      <c r="K54" s="15">
        <v>43647.0</v>
      </c>
      <c r="L54" s="15">
        <v>33878.0</v>
      </c>
      <c r="M54" s="13">
        <v>23265.0</v>
      </c>
      <c r="N54" s="7">
        <v>11720.1</v>
      </c>
      <c r="O54" s="7"/>
      <c r="P54" s="7">
        <v>13.33</v>
      </c>
      <c r="Q54" s="7">
        <v>11720.1</v>
      </c>
      <c r="R54" s="20">
        <v>0.0</v>
      </c>
      <c r="S54" s="7"/>
      <c r="T54" s="20"/>
      <c r="U54" s="16">
        <f>SUM(Template!$N54:$O54)*Template!$P54+Template!$Q54</f>
        <v>167949.033</v>
      </c>
      <c r="V54" s="17" t="str">
        <f>IF(Template!$M54="CONSELHO","N",IF(Template!$AA54="N","N1",IF(Template!$AA54="N1","N2",IF(Template!$AA54="N2","N3",IF(Template!$AA54="N3","N4",IF(Template!$AA54="N4","N5",IF(Template!$AA54="N5","N6",IF(Template!$AA54="N6","N7",IF(Template!$AA54="N7","N8",IF(Template!$AA54="N8","N9",IF(Template!$AA54="N9","N10","NA")))))))))))</f>
        <v>N2</v>
      </c>
      <c r="W54" s="17">
        <f>COUNTIF(Template!$M$3:$M$619,Template!$D54)</f>
        <v>0</v>
      </c>
      <c r="X54" s="17">
        <f>IF(Template!$F54="","",SUMIF(Template!$M$3:$M$619,Template!$D54,Template!$AC$3:$AC$619))</f>
        <v>0</v>
      </c>
      <c r="Y54" s="17" t="str">
        <f>IFERROR(VLOOKUP(Template!$M54,Template!$D$3:$G$619,MATCH("EmployeeJobTitle",Template!$D$2:$G$2,0),FALSE),"NA")</f>
        <v>DIRETORA DE PRODUTO E ESTILO</v>
      </c>
      <c r="Z54" s="17" t="str">
        <f>IFERROR(VLOOKUP(Template!$M54,Template!$D$3:$G$619,MATCH("EmployeeGroup",Template!$D$2:$G$2,0),FALSE),"NA")</f>
        <v>Diretor</v>
      </c>
      <c r="AA54" s="17" t="str">
        <f>IFERROR(VLOOKUP(Template!$M54,Template!$D$3:$V$619,MATCH("Layer",Template!$D$2:$V$2,0),FALSE),"NA")</f>
        <v>N1</v>
      </c>
      <c r="AB54" s="21">
        <f>VLOOKUP(Template!$M54,Template!$D$3:$F$619,MATCH("InternalGrade",Template!$D$2:$F$2,0),FALSE)-Template!$F54</f>
        <v>4</v>
      </c>
      <c r="AC54" s="17">
        <f>IF(Template!$AB54&lt;=1, 0.8,IF(Template!$AB54=2,0.4,IF(Template!$AB54=3,0.2,IF(Template!$AB54=4,0.1,IF(Template!$AB54&gt;=5,0.05,"erro")))))</f>
        <v>0.1</v>
      </c>
      <c r="AD54" s="17" t="b">
        <f>Template!$D54=Template!$M54</f>
        <v>0</v>
      </c>
      <c r="AE54" s="12" t="s">
        <v>58</v>
      </c>
    </row>
    <row r="55" ht="15.75" customHeight="1">
      <c r="A55" s="7" t="s">
        <v>59</v>
      </c>
      <c r="B55" s="7" t="s">
        <v>71</v>
      </c>
      <c r="C55" s="7" t="s">
        <v>72</v>
      </c>
      <c r="D55" s="13">
        <v>24878.0</v>
      </c>
      <c r="E55" s="7" t="s">
        <v>133</v>
      </c>
      <c r="F55" s="13">
        <v>14.0</v>
      </c>
      <c r="G55" s="14" t="s">
        <v>63</v>
      </c>
      <c r="H55" s="7" t="s">
        <v>64</v>
      </c>
      <c r="I55" s="7" t="s">
        <v>65</v>
      </c>
      <c r="J55" s="7" t="s">
        <v>70</v>
      </c>
      <c r="K55" s="15">
        <v>45341.0</v>
      </c>
      <c r="L55" s="15">
        <v>35096.0</v>
      </c>
      <c r="M55" s="13">
        <v>18792.0</v>
      </c>
      <c r="N55" s="7">
        <v>3240.0</v>
      </c>
      <c r="O55" s="7"/>
      <c r="P55" s="7">
        <v>13.33</v>
      </c>
      <c r="Q55" s="7">
        <v>3240.0</v>
      </c>
      <c r="R55" s="20">
        <v>0.0</v>
      </c>
      <c r="S55" s="7"/>
      <c r="T55" s="20"/>
      <c r="U55" s="16">
        <f>SUM(Template!$N55:$O55)*Template!$P55+Template!$Q55</f>
        <v>46429.2</v>
      </c>
      <c r="V55" s="17" t="str">
        <f>IF(Template!$M55="CONSELHO","N",IF(Template!$AA55="N","N1",IF(Template!$AA55="N1","N2",IF(Template!$AA55="N2","N3",IF(Template!$AA55="N3","N4",IF(Template!$AA55="N4","N5",IF(Template!$AA55="N5","N6",IF(Template!$AA55="N6","N7",IF(Template!$AA55="N7","N8",IF(Template!$AA55="N8","N9",IF(Template!$AA55="N9","N10","NA")))))))))))</f>
        <v>N4</v>
      </c>
      <c r="W55" s="17">
        <f>COUNTIF(Template!$M$3:$M$619,Template!$D55)</f>
        <v>0</v>
      </c>
      <c r="X55" s="17">
        <f>IF(Template!$F55="","",SUMIF(Template!$M$3:$M$619,Template!$D55,Template!$AC$3:$AC$619))</f>
        <v>0</v>
      </c>
      <c r="Y55" s="17" t="str">
        <f>IFERROR(VLOOKUP(Template!$M55,Template!$D$3:$G$619,MATCH("EmployeeJobTitle",Template!$D$2:$G$2,0),FALSE),"NA")</f>
        <v>COORDENADOR DE PLANEJAMENTO</v>
      </c>
      <c r="Z55" s="17" t="str">
        <f>IFERROR(VLOOKUP(Template!$M55,Template!$D$3:$G$619,MATCH("EmployeeGroup",Template!$D$2:$G$2,0),FALSE),"NA")</f>
        <v>Coordenador</v>
      </c>
      <c r="AA55" s="17" t="str">
        <f>IFERROR(VLOOKUP(Template!$M55,Template!$D$3:$V$619,MATCH("Layer",Template!$D$2:$V$2,0),FALSE),"NA")</f>
        <v>N3</v>
      </c>
      <c r="AB55" s="21">
        <f>VLOOKUP(Template!$M55,Template!$D$3:$F$619,MATCH("InternalGrade",Template!$D$2:$F$2,0),FALSE)-Template!$F55</f>
        <v>3</v>
      </c>
      <c r="AC55" s="17">
        <f>IF(Template!$AB55&lt;=1, 0.8,IF(Template!$AB55=2,0.4,IF(Template!$AB55=3,0.2,IF(Template!$AB55=4,0.1,IF(Template!$AB55&gt;=5,0.05,"erro")))))</f>
        <v>0.2</v>
      </c>
      <c r="AD55" s="17" t="b">
        <f>Template!$D55=Template!$M55</f>
        <v>0</v>
      </c>
      <c r="AE55" s="12" t="s">
        <v>58</v>
      </c>
    </row>
    <row r="56" ht="15.75" customHeight="1">
      <c r="A56" s="7" t="s">
        <v>59</v>
      </c>
      <c r="B56" s="7" t="s">
        <v>60</v>
      </c>
      <c r="C56" s="7" t="s">
        <v>134</v>
      </c>
      <c r="D56" s="13">
        <v>19755.0</v>
      </c>
      <c r="E56" s="7" t="s">
        <v>135</v>
      </c>
      <c r="F56" s="13">
        <v>14.0</v>
      </c>
      <c r="G56" s="14" t="s">
        <v>63</v>
      </c>
      <c r="H56" s="7" t="s">
        <v>64</v>
      </c>
      <c r="I56" s="7" t="s">
        <v>65</v>
      </c>
      <c r="J56" s="7" t="s">
        <v>70</v>
      </c>
      <c r="K56" s="15">
        <v>44424.0</v>
      </c>
      <c r="L56" s="15">
        <v>30013.0</v>
      </c>
      <c r="M56" s="13">
        <v>24245.0</v>
      </c>
      <c r="N56" s="7">
        <v>4018.46</v>
      </c>
      <c r="O56" s="7"/>
      <c r="P56" s="7">
        <v>13.33</v>
      </c>
      <c r="Q56" s="7">
        <v>4018.46</v>
      </c>
      <c r="R56" s="20">
        <v>0.0</v>
      </c>
      <c r="S56" s="7"/>
      <c r="T56" s="20"/>
      <c r="U56" s="16">
        <f>SUM(Template!$N56:$O56)*Template!$P56+Template!$Q56</f>
        <v>57584.5318</v>
      </c>
      <c r="V56" s="17" t="str">
        <f>IF(Template!$M56="CONSELHO","N",IF(Template!$AA56="N","N1",IF(Template!$AA56="N1","N2",IF(Template!$AA56="N2","N3",IF(Template!$AA56="N3","N4",IF(Template!$AA56="N4","N5",IF(Template!$AA56="N5","N6",IF(Template!$AA56="N6","N7",IF(Template!$AA56="N7","N8",IF(Template!$AA56="N8","N9",IF(Template!$AA56="N9","N10","NA")))))))))))</f>
        <v>N3</v>
      </c>
      <c r="W56" s="17">
        <f>COUNTIF(Template!$M$3:$M$619,Template!$D56)</f>
        <v>0</v>
      </c>
      <c r="X56" s="17">
        <f>IF(Template!$F56="","",SUMIF(Template!$M$3:$M$619,Template!$D56,Template!$AC$3:$AC$619))</f>
        <v>0</v>
      </c>
      <c r="Y56" s="17" t="str">
        <f>IFERROR(VLOOKUP(Template!$M56,Template!$D$3:$G$619,MATCH("EmployeeJobTitle",Template!$D$2:$G$2,0),FALSE),"NA")</f>
        <v>GERENTE DE PLAN. FINANCEIRO</v>
      </c>
      <c r="Z56" s="17" t="str">
        <f>IFERROR(VLOOKUP(Template!$M56,Template!$D$3:$G$619,MATCH("EmployeeGroup",Template!$D$2:$G$2,0),FALSE),"NA")</f>
        <v>Gerente</v>
      </c>
      <c r="AA56" s="17" t="str">
        <f>IFERROR(VLOOKUP(Template!$M56,Template!$D$3:$V$619,MATCH("Layer",Template!$D$2:$V$2,0),FALSE),"NA")</f>
        <v>N2</v>
      </c>
      <c r="AB56" s="21">
        <f>VLOOKUP(Template!$M56,Template!$D$3:$F$619,MATCH("InternalGrade",Template!$D$2:$F$2,0),FALSE)-Template!$F56</f>
        <v>5</v>
      </c>
      <c r="AC56" s="17">
        <f>IF(Template!$AB56&lt;=1, 0.8,IF(Template!$AB56=2,0.4,IF(Template!$AB56=3,0.2,IF(Template!$AB56=4,0.1,IF(Template!$AB56&gt;=5,0.05,"erro")))))</f>
        <v>0.05</v>
      </c>
      <c r="AD56" s="17" t="b">
        <f>Template!$D56=Template!$M56</f>
        <v>0</v>
      </c>
      <c r="AE56" s="12" t="s">
        <v>58</v>
      </c>
    </row>
    <row r="57" ht="15.75" customHeight="1">
      <c r="A57" s="7" t="s">
        <v>59</v>
      </c>
      <c r="B57" s="7" t="s">
        <v>71</v>
      </c>
      <c r="C57" s="7" t="s">
        <v>72</v>
      </c>
      <c r="D57" s="13">
        <v>25042.0</v>
      </c>
      <c r="E57" s="7" t="s">
        <v>133</v>
      </c>
      <c r="F57" s="13">
        <v>14.0</v>
      </c>
      <c r="G57" s="14" t="s">
        <v>63</v>
      </c>
      <c r="H57" s="7" t="s">
        <v>64</v>
      </c>
      <c r="I57" s="7" t="s">
        <v>65</v>
      </c>
      <c r="J57" s="7" t="s">
        <v>70</v>
      </c>
      <c r="K57" s="15">
        <v>45418.0</v>
      </c>
      <c r="L57" s="15">
        <v>36208.0</v>
      </c>
      <c r="M57" s="13">
        <v>18792.0</v>
      </c>
      <c r="N57" s="7">
        <v>3240.0</v>
      </c>
      <c r="O57" s="7"/>
      <c r="P57" s="7">
        <v>13.33</v>
      </c>
      <c r="Q57" s="7">
        <v>3240.0</v>
      </c>
      <c r="R57" s="20">
        <v>0.0</v>
      </c>
      <c r="S57" s="7"/>
      <c r="T57" s="20"/>
      <c r="U57" s="16">
        <f>SUM(Template!$N57:$O57)*Template!$P57+Template!$Q57</f>
        <v>46429.2</v>
      </c>
      <c r="V57" s="17" t="str">
        <f>IF(Template!$M57="CONSELHO","N",IF(Template!$AA57="N","N1",IF(Template!$AA57="N1","N2",IF(Template!$AA57="N2","N3",IF(Template!$AA57="N3","N4",IF(Template!$AA57="N4","N5",IF(Template!$AA57="N5","N6",IF(Template!$AA57="N6","N7",IF(Template!$AA57="N7","N8",IF(Template!$AA57="N8","N9",IF(Template!$AA57="N9","N10","NA")))))))))))</f>
        <v>N4</v>
      </c>
      <c r="W57" s="17">
        <f>COUNTIF(Template!$M$3:$M$619,Template!$D57)</f>
        <v>0</v>
      </c>
      <c r="X57" s="17">
        <f>IF(Template!$F57="","",SUMIF(Template!$M$3:$M$619,Template!$D57,Template!$AC$3:$AC$619))</f>
        <v>0</v>
      </c>
      <c r="Y57" s="17" t="str">
        <f>IFERROR(VLOOKUP(Template!$M57,Template!$D$3:$G$619,MATCH("EmployeeJobTitle",Template!$D$2:$G$2,0),FALSE),"NA")</f>
        <v>COORDENADOR DE PLANEJAMENTO</v>
      </c>
      <c r="Z57" s="17" t="str">
        <f>IFERROR(VLOOKUP(Template!$M57,Template!$D$3:$G$619,MATCH("EmployeeGroup",Template!$D$2:$G$2,0),FALSE),"NA")</f>
        <v>Coordenador</v>
      </c>
      <c r="AA57" s="17" t="str">
        <f>IFERROR(VLOOKUP(Template!$M57,Template!$D$3:$V$619,MATCH("Layer",Template!$D$2:$V$2,0),FALSE),"NA")</f>
        <v>N3</v>
      </c>
      <c r="AB57" s="21">
        <f>VLOOKUP(Template!$M57,Template!$D$3:$F$619,MATCH("InternalGrade",Template!$D$2:$F$2,0),FALSE)-Template!$F57</f>
        <v>3</v>
      </c>
      <c r="AC57" s="17">
        <f>IF(Template!$AB57&lt;=1, 0.8,IF(Template!$AB57=2,0.4,IF(Template!$AB57=3,0.2,IF(Template!$AB57=4,0.1,IF(Template!$AB57&gt;=5,0.05,"erro")))))</f>
        <v>0.2</v>
      </c>
      <c r="AD57" s="17" t="b">
        <f>Template!$D57=Template!$M57</f>
        <v>0</v>
      </c>
      <c r="AE57" s="12" t="s">
        <v>58</v>
      </c>
    </row>
    <row r="58" ht="15.75" customHeight="1">
      <c r="A58" s="7" t="s">
        <v>59</v>
      </c>
      <c r="B58" s="7" t="s">
        <v>60</v>
      </c>
      <c r="C58" s="7" t="s">
        <v>99</v>
      </c>
      <c r="D58" s="13">
        <v>19870.0</v>
      </c>
      <c r="E58" s="7" t="s">
        <v>136</v>
      </c>
      <c r="F58" s="13">
        <v>15.0</v>
      </c>
      <c r="G58" s="14" t="s">
        <v>63</v>
      </c>
      <c r="H58" s="7" t="s">
        <v>64</v>
      </c>
      <c r="I58" s="7" t="s">
        <v>65</v>
      </c>
      <c r="J58" s="7" t="s">
        <v>70</v>
      </c>
      <c r="K58" s="15">
        <v>44494.0</v>
      </c>
      <c r="L58" s="15">
        <v>32526.0</v>
      </c>
      <c r="M58" s="13">
        <v>19643.0</v>
      </c>
      <c r="N58" s="7">
        <v>6401.0</v>
      </c>
      <c r="O58" s="7"/>
      <c r="P58" s="7">
        <v>13.33</v>
      </c>
      <c r="Q58" s="7">
        <v>6401.0</v>
      </c>
      <c r="R58" s="20">
        <v>0.0</v>
      </c>
      <c r="S58" s="7"/>
      <c r="T58" s="20"/>
      <c r="U58" s="16">
        <f>SUM(Template!$N58:$O58)*Template!$P58+Template!$Q58</f>
        <v>91726.33</v>
      </c>
      <c r="V58" s="17" t="str">
        <f>IF(Template!$M58="CONSELHO","N",IF(Template!$AA58="N","N1",IF(Template!$AA58="N1","N2",IF(Template!$AA58="N2","N3",IF(Template!$AA58="N3","N4",IF(Template!$AA58="N4","N5",IF(Template!$AA58="N5","N6",IF(Template!$AA58="N6","N7",IF(Template!$AA58="N7","N8",IF(Template!$AA58="N8","N9",IF(Template!$AA58="N9","N10","NA")))))))))))</f>
        <v>N4</v>
      </c>
      <c r="W58" s="17">
        <f>COUNTIF(Template!$M$3:$M$619,Template!$D58)</f>
        <v>0</v>
      </c>
      <c r="X58" s="17">
        <f>IF(Template!$F58="","",SUMIF(Template!$M$3:$M$619,Template!$D58,Template!$AC$3:$AC$619))</f>
        <v>0</v>
      </c>
      <c r="Y58" s="17" t="str">
        <f>IFERROR(VLOOKUP(Template!$M58,Template!$D$3:$G$619,MATCH("EmployeeJobTitle",Template!$D$2:$G$2,0),FALSE),"NA")</f>
        <v>COORDENADOR CONTABIL</v>
      </c>
      <c r="Z58" s="17" t="str">
        <f>IFERROR(VLOOKUP(Template!$M58,Template!$D$3:$G$619,MATCH("EmployeeGroup",Template!$D$2:$G$2,0),FALSE),"NA")</f>
        <v>Coordenador</v>
      </c>
      <c r="AA58" s="17" t="str">
        <f>IFERROR(VLOOKUP(Template!$M58,Template!$D$3:$V$619,MATCH("Layer",Template!$D$2:$V$2,0),FALSE),"NA")</f>
        <v>N3</v>
      </c>
      <c r="AB58" s="21">
        <f>VLOOKUP(Template!$M58,Template!$D$3:$F$619,MATCH("InternalGrade",Template!$D$2:$F$2,0),FALSE)-Template!$F58</f>
        <v>2</v>
      </c>
      <c r="AC58" s="17">
        <f>IF(Template!$AB58&lt;=1, 0.8,IF(Template!$AB58=2,0.4,IF(Template!$AB58=3,0.2,IF(Template!$AB58=4,0.1,IF(Template!$AB58&gt;=5,0.05,"erro")))))</f>
        <v>0.4</v>
      </c>
      <c r="AD58" s="17" t="b">
        <f>Template!$D58=Template!$M58</f>
        <v>0</v>
      </c>
      <c r="AE58" s="12" t="s">
        <v>58</v>
      </c>
    </row>
    <row r="59" ht="15.75" customHeight="1">
      <c r="A59" s="7" t="s">
        <v>59</v>
      </c>
      <c r="B59" s="7" t="s">
        <v>91</v>
      </c>
      <c r="C59" s="7" t="s">
        <v>91</v>
      </c>
      <c r="D59" s="13">
        <v>25208.0</v>
      </c>
      <c r="E59" s="7" t="s">
        <v>109</v>
      </c>
      <c r="F59" s="13">
        <v>14.0</v>
      </c>
      <c r="G59" s="14" t="s">
        <v>63</v>
      </c>
      <c r="H59" s="7" t="s">
        <v>64</v>
      </c>
      <c r="I59" s="7" t="s">
        <v>65</v>
      </c>
      <c r="J59" s="7" t="s">
        <v>70</v>
      </c>
      <c r="K59" s="15">
        <v>45488.0</v>
      </c>
      <c r="L59" s="15">
        <v>37966.0</v>
      </c>
      <c r="M59" s="13">
        <v>25348.0</v>
      </c>
      <c r="N59" s="7">
        <v>3464.0</v>
      </c>
      <c r="O59" s="7"/>
      <c r="P59" s="7">
        <v>13.33</v>
      </c>
      <c r="Q59" s="7">
        <v>3464.0</v>
      </c>
      <c r="R59" s="20">
        <v>0.0</v>
      </c>
      <c r="S59" s="7"/>
      <c r="T59" s="20"/>
      <c r="U59" s="16">
        <f>SUM(Template!$N59:$O59)*Template!$P59+Template!$Q59</f>
        <v>49639.12</v>
      </c>
      <c r="V59" s="17" t="str">
        <f>IF(Template!$M59="CONSELHO","N",IF(Template!$AA59="N","N1",IF(Template!$AA59="N1","N2",IF(Template!$AA59="N2","N3",IF(Template!$AA59="N3","N4",IF(Template!$AA59="N4","N5",IF(Template!$AA59="N5","N6",IF(Template!$AA59="N6","N7",IF(Template!$AA59="N7","N8",IF(Template!$AA59="N8","N9",IF(Template!$AA59="N9","N10","NA")))))))))))</f>
        <v>N3</v>
      </c>
      <c r="W59" s="17">
        <f>COUNTIF(Template!$M$3:$M$619,Template!$D59)</f>
        <v>0</v>
      </c>
      <c r="X59" s="17">
        <f>IF(Template!$F59="","",SUMIF(Template!$M$3:$M$619,Template!$D59,Template!$AC$3:$AC$619))</f>
        <v>0</v>
      </c>
      <c r="Y59" s="17" t="str">
        <f>IFERROR(VLOOKUP(Template!$M59,Template!$D$3:$G$619,MATCH("EmployeeJobTitle",Template!$D$2:$G$2,0),FALSE),"NA")</f>
        <v>COORDENADOR DE TI</v>
      </c>
      <c r="Z59" s="17" t="str">
        <f>IFERROR(VLOOKUP(Template!$M59,Template!$D$3:$G$619,MATCH("EmployeeGroup",Template!$D$2:$G$2,0),FALSE),"NA")</f>
        <v>Coordenador</v>
      </c>
      <c r="AA59" s="17" t="str">
        <f>IFERROR(VLOOKUP(Template!$M59,Template!$D$3:$V$619,MATCH("Layer",Template!$D$2:$V$2,0),FALSE),"NA")</f>
        <v>N2</v>
      </c>
      <c r="AB59" s="21">
        <f>VLOOKUP(Template!$M59,Template!$D$3:$F$619,MATCH("InternalGrade",Template!$D$2:$F$2,0),FALSE)-Template!$F59</f>
        <v>4</v>
      </c>
      <c r="AC59" s="17">
        <f>IF(Template!$AB59&lt;=1, 0.8,IF(Template!$AB59=2,0.4,IF(Template!$AB59=3,0.2,IF(Template!$AB59=4,0.1,IF(Template!$AB59&gt;=5,0.05,"erro")))))</f>
        <v>0.1</v>
      </c>
      <c r="AD59" s="17" t="b">
        <f>Template!$D59=Template!$M59</f>
        <v>0</v>
      </c>
      <c r="AE59" s="12" t="s">
        <v>58</v>
      </c>
    </row>
    <row r="60" ht="15.75" customHeight="1">
      <c r="A60" s="7" t="s">
        <v>59</v>
      </c>
      <c r="B60" s="7" t="s">
        <v>71</v>
      </c>
      <c r="C60" s="7" t="s">
        <v>84</v>
      </c>
      <c r="D60" s="13">
        <v>14514.0</v>
      </c>
      <c r="E60" s="7" t="s">
        <v>137</v>
      </c>
      <c r="F60" s="13"/>
      <c r="G60" s="22" t="s">
        <v>87</v>
      </c>
      <c r="H60" s="7" t="s">
        <v>64</v>
      </c>
      <c r="I60" s="7" t="s">
        <v>65</v>
      </c>
      <c r="J60" s="7" t="s">
        <v>66</v>
      </c>
      <c r="K60" s="15">
        <v>42282.0</v>
      </c>
      <c r="L60" s="15">
        <v>22778.0</v>
      </c>
      <c r="M60" s="13">
        <v>18566.0</v>
      </c>
      <c r="N60" s="7">
        <v>5001.26</v>
      </c>
      <c r="O60" s="7"/>
      <c r="P60" s="7">
        <v>13.33</v>
      </c>
      <c r="Q60" s="7">
        <v>5001.26</v>
      </c>
      <c r="R60" s="20">
        <v>0.0</v>
      </c>
      <c r="S60" s="7"/>
      <c r="T60" s="20"/>
      <c r="U60" s="16">
        <f>SUM(Template!$N60:$O60)*Template!$P60+Template!$Q60</f>
        <v>71668.0558</v>
      </c>
      <c r="V60" s="17" t="str">
        <f>IF(Template!$M60="CONSELHO","N",IF(Template!$AA60="N","N1",IF(Template!$AA60="N1","N2",IF(Template!$AA60="N2","N3",IF(Template!$AA60="N3","N4",IF(Template!$AA60="N4","N5",IF(Template!$AA60="N5","N6",IF(Template!$AA60="N6","N7",IF(Template!$AA60="N7","N8",IF(Template!$AA60="N8","N9",IF(Template!$AA60="N9","N10","NA")))))))))))</f>
        <v>N3</v>
      </c>
      <c r="W60" s="17">
        <f>COUNTIF(Template!$M$3:$M$619,Template!$D60)</f>
        <v>0</v>
      </c>
      <c r="X60" s="17" t="str">
        <f>IF(Template!$F60="","",SUMIF(Template!$M$3:$M$619,Template!$D60,Template!$AC$3:$AC$619))</f>
        <v/>
      </c>
      <c r="Y60" s="17" t="str">
        <f>IFERROR(VLOOKUP(Template!$M60,Template!$D$3:$G$619,MATCH("EmployeeJobTitle",Template!$D$2:$G$2,0),FALSE),"NA")</f>
        <v>COORDENADOR DE COMPRAS</v>
      </c>
      <c r="Z60" s="17" t="str">
        <f>IFERROR(VLOOKUP(Template!$M60,Template!$D$3:$G$619,MATCH("EmployeeGroup",Template!$D$2:$G$2,0),FALSE),"NA")</f>
        <v>Coordenador</v>
      </c>
      <c r="AA60" s="17" t="str">
        <f>IFERROR(VLOOKUP(Template!$M60,Template!$D$3:$V$619,MATCH("Layer",Template!$D$2:$V$2,0),FALSE),"NA")</f>
        <v>N2</v>
      </c>
      <c r="AB60" s="21">
        <f>VLOOKUP(Template!$M60,Template!$D$3:$F$619,MATCH("InternalGrade",Template!$D$2:$F$2,0),FALSE)-Template!$F60</f>
        <v>18</v>
      </c>
      <c r="AC60" s="17">
        <f>IF(Template!$AB60&lt;=1, 0.8,IF(Template!$AB60=2,0.4,IF(Template!$AB60=3,0.2,IF(Template!$AB60=4,0.1,IF(Template!$AB60&gt;=5,0.05,"erro")))))</f>
        <v>0.05</v>
      </c>
      <c r="AD60" s="17" t="b">
        <f>Template!$D60=Template!$M60</f>
        <v>0</v>
      </c>
      <c r="AE60" s="12" t="s">
        <v>58</v>
      </c>
    </row>
    <row r="61" ht="15.75" customHeight="1">
      <c r="A61" s="7" t="s">
        <v>59</v>
      </c>
      <c r="B61" s="7" t="s">
        <v>91</v>
      </c>
      <c r="C61" s="7" t="s">
        <v>91</v>
      </c>
      <c r="D61" s="13">
        <v>25348.0</v>
      </c>
      <c r="E61" s="7" t="s">
        <v>138</v>
      </c>
      <c r="F61" s="13">
        <v>18.0</v>
      </c>
      <c r="G61" s="22" t="s">
        <v>87</v>
      </c>
      <c r="H61" s="7" t="s">
        <v>64</v>
      </c>
      <c r="I61" s="7" t="s">
        <v>65</v>
      </c>
      <c r="J61" s="7" t="s">
        <v>70</v>
      </c>
      <c r="K61" s="15">
        <v>45537.0</v>
      </c>
      <c r="L61" s="15">
        <v>32928.0</v>
      </c>
      <c r="M61" s="13">
        <v>24945.0</v>
      </c>
      <c r="N61" s="7">
        <v>12000.0</v>
      </c>
      <c r="O61" s="7"/>
      <c r="P61" s="7">
        <v>13.33</v>
      </c>
      <c r="Q61" s="7">
        <v>18000.0</v>
      </c>
      <c r="R61" s="20">
        <v>0.0</v>
      </c>
      <c r="S61" s="7"/>
      <c r="T61" s="20"/>
      <c r="U61" s="16">
        <f>SUM(Template!$N61:$O61)*Template!$P61+Template!$Q61</f>
        <v>177960</v>
      </c>
      <c r="V61" s="17" t="str">
        <f>IF(Template!$M61="CONSELHO","N",IF(Template!$AA61="N","N1",IF(Template!$AA61="N1","N2",IF(Template!$AA61="N2","N3",IF(Template!$AA61="N3","N4",IF(Template!$AA61="N4","N5",IF(Template!$AA61="N5","N6",IF(Template!$AA61="N6","N7",IF(Template!$AA61="N7","N8",IF(Template!$AA61="N8","N9",IF(Template!$AA61="N9","N10","NA")))))))))))</f>
        <v>N2</v>
      </c>
      <c r="W61" s="17">
        <f>COUNTIF(Template!$M$3:$M$619,Template!$D61)</f>
        <v>5</v>
      </c>
      <c r="X61" s="17">
        <f>IF(Template!$F61="","",SUMIF(Template!$M$3:$M$619,Template!$D61,Template!$AC$3:$AC$619))</f>
        <v>0.7</v>
      </c>
      <c r="Y61" s="17" t="str">
        <f>IFERROR(VLOOKUP(Template!$M61,Template!$D$3:$G$619,MATCH("EmployeeJobTitle",Template!$D$2:$G$2,0),FALSE),"NA")</f>
        <v>GERENTE SISTEMA DA INFORMAÇÃO</v>
      </c>
      <c r="Z61" s="17" t="str">
        <f>IFERROR(VLOOKUP(Template!$M61,Template!$D$3:$G$619,MATCH("EmployeeGroup",Template!$D$2:$G$2,0),FALSE),"NA")</f>
        <v>Gerente</v>
      </c>
      <c r="AA61" s="17" t="str">
        <f>IFERROR(VLOOKUP(Template!$M61,Template!$D$3:$V$619,MATCH("Layer",Template!$D$2:$V$2,0),FALSE),"NA")</f>
        <v>N1</v>
      </c>
      <c r="AB61" s="21">
        <f>VLOOKUP(Template!$M61,Template!$D$3:$F$619,MATCH("InternalGrade",Template!$D$2:$F$2,0),FALSE)-Template!$F61</f>
        <v>1</v>
      </c>
      <c r="AC61" s="17">
        <f>IF(Template!$AB61&lt;=1, 0.8,IF(Template!$AB61=2,0.4,IF(Template!$AB61=3,0.2,IF(Template!$AB61=4,0.1,IF(Template!$AB61&gt;=5,0.05,"erro")))))</f>
        <v>0.8</v>
      </c>
      <c r="AD61" s="17" t="b">
        <f>Template!$D61=Template!$M61</f>
        <v>0</v>
      </c>
      <c r="AE61" s="12" t="s">
        <v>58</v>
      </c>
    </row>
    <row r="62" ht="15.75" customHeight="1">
      <c r="A62" s="7" t="s">
        <v>59</v>
      </c>
      <c r="B62" s="7" t="s">
        <v>71</v>
      </c>
      <c r="C62" s="7" t="s">
        <v>84</v>
      </c>
      <c r="D62" s="13">
        <v>17952.0</v>
      </c>
      <c r="E62" s="7" t="s">
        <v>139</v>
      </c>
      <c r="F62" s="13">
        <v>19.0</v>
      </c>
      <c r="G62" s="22" t="s">
        <v>87</v>
      </c>
      <c r="H62" s="7" t="s">
        <v>64</v>
      </c>
      <c r="I62" s="7" t="s">
        <v>65</v>
      </c>
      <c r="J62" s="7" t="s">
        <v>70</v>
      </c>
      <c r="K62" s="15">
        <v>43763.0</v>
      </c>
      <c r="L62" s="15">
        <v>27445.0</v>
      </c>
      <c r="M62" s="13">
        <v>23261.0</v>
      </c>
      <c r="N62" s="7">
        <v>17666.0</v>
      </c>
      <c r="O62" s="7"/>
      <c r="P62" s="7">
        <v>13.33</v>
      </c>
      <c r="Q62" s="7">
        <v>26499.0</v>
      </c>
      <c r="R62" s="20">
        <v>0.0</v>
      </c>
      <c r="S62" s="7"/>
      <c r="T62" s="20"/>
      <c r="U62" s="16">
        <f>SUM(Template!$N62:$O62)*Template!$P62+Template!$Q62</f>
        <v>261986.78</v>
      </c>
      <c r="V62" s="17" t="str">
        <f>IF(Template!$M62="CONSELHO","N",IF(Template!$AA62="N","N1",IF(Template!$AA62="N1","N2",IF(Template!$AA62="N2","N3",IF(Template!$AA62="N3","N4",IF(Template!$AA62="N4","N5",IF(Template!$AA62="N5","N6",IF(Template!$AA62="N6","N7",IF(Template!$AA62="N7","N8",IF(Template!$AA62="N8","N9",IF(Template!$AA62="N9","N10","NA")))))))))))</f>
        <v>N2</v>
      </c>
      <c r="W62" s="17">
        <f>COUNTIF(Template!$M$3:$M$619,Template!$D62)</f>
        <v>4</v>
      </c>
      <c r="X62" s="17">
        <f>IF(Template!$F62="","",SUMIF(Template!$M$3:$M$619,Template!$D62,Template!$AC$3:$AC$619))</f>
        <v>0.75</v>
      </c>
      <c r="Y62" s="17" t="str">
        <f>IFERROR(VLOOKUP(Template!$M62,Template!$D$3:$G$619,MATCH("EmployeeJobTitle",Template!$D$2:$G$2,0),FALSE),"NA")</f>
        <v>DIRETORA DE COMPRAS E LOGISTICA</v>
      </c>
      <c r="Z62" s="17" t="str">
        <f>IFERROR(VLOOKUP(Template!$M62,Template!$D$3:$G$619,MATCH("EmployeeGroup",Template!$D$2:$G$2,0),FALSE),"NA")</f>
        <v>Diretor</v>
      </c>
      <c r="AA62" s="17" t="str">
        <f>IFERROR(VLOOKUP(Template!$M62,Template!$D$3:$V$619,MATCH("Layer",Template!$D$2:$V$2,0),FALSE),"NA")</f>
        <v>N1</v>
      </c>
      <c r="AB62" s="21">
        <f>VLOOKUP(Template!$M62,Template!$D$3:$F$619,MATCH("InternalGrade",Template!$D$2:$F$2,0),FALSE)-Template!$F62</f>
        <v>2</v>
      </c>
      <c r="AC62" s="17">
        <f>IF(Template!$AB62&lt;=1, 0.8,IF(Template!$AB62=2,0.4,IF(Template!$AB62=3,0.2,IF(Template!$AB62=4,0.1,IF(Template!$AB62&gt;=5,0.05,"erro")))))</f>
        <v>0.4</v>
      </c>
      <c r="AD62" s="17" t="b">
        <f>Template!$D62=Template!$M62</f>
        <v>0</v>
      </c>
      <c r="AE62" s="12" t="s">
        <v>58</v>
      </c>
    </row>
    <row r="63" ht="15.75" customHeight="1">
      <c r="A63" s="7" t="s">
        <v>59</v>
      </c>
      <c r="B63" s="7" t="s">
        <v>60</v>
      </c>
      <c r="C63" s="7" t="s">
        <v>128</v>
      </c>
      <c r="D63" s="13">
        <v>24782.0</v>
      </c>
      <c r="E63" s="7" t="s">
        <v>140</v>
      </c>
      <c r="F63" s="13">
        <v>16.0</v>
      </c>
      <c r="G63" s="14" t="s">
        <v>63</v>
      </c>
      <c r="H63" s="7" t="s">
        <v>64</v>
      </c>
      <c r="I63" s="7" t="s">
        <v>65</v>
      </c>
      <c r="J63" s="7" t="s">
        <v>70</v>
      </c>
      <c r="K63" s="15">
        <v>45293.0</v>
      </c>
      <c r="L63" s="15">
        <v>37203.0</v>
      </c>
      <c r="M63" s="13">
        <v>24245.0</v>
      </c>
      <c r="N63" s="7">
        <v>6720.0</v>
      </c>
      <c r="O63" s="7"/>
      <c r="P63" s="7">
        <v>13.33</v>
      </c>
      <c r="Q63" s="7">
        <v>6720.0</v>
      </c>
      <c r="R63" s="20">
        <v>0.0</v>
      </c>
      <c r="S63" s="7"/>
      <c r="T63" s="20"/>
      <c r="U63" s="16">
        <f>SUM(Template!$N63:$O63)*Template!$P63+Template!$Q63</f>
        <v>96297.6</v>
      </c>
      <c r="V63" s="17" t="str">
        <f>IF(Template!$M63="CONSELHO","N",IF(Template!$AA63="N","N1",IF(Template!$AA63="N1","N2",IF(Template!$AA63="N2","N3",IF(Template!$AA63="N3","N4",IF(Template!$AA63="N4","N5",IF(Template!$AA63="N5","N6",IF(Template!$AA63="N6","N7",IF(Template!$AA63="N7","N8",IF(Template!$AA63="N8","N9",IF(Template!$AA63="N9","N10","NA")))))))))))</f>
        <v>N3</v>
      </c>
      <c r="W63" s="17">
        <f>COUNTIF(Template!$M$3:$M$619,Template!$D63)</f>
        <v>0</v>
      </c>
      <c r="X63" s="17">
        <f>IF(Template!$F63="","",SUMIF(Template!$M$3:$M$619,Template!$D63,Template!$AC$3:$AC$619))</f>
        <v>0</v>
      </c>
      <c r="Y63" s="17" t="str">
        <f>IFERROR(VLOOKUP(Template!$M63,Template!$D$3:$G$619,MATCH("EmployeeJobTitle",Template!$D$2:$G$2,0),FALSE),"NA")</f>
        <v>GERENTE DE PLAN. FINANCEIRO</v>
      </c>
      <c r="Z63" s="17" t="str">
        <f>IFERROR(VLOOKUP(Template!$M63,Template!$D$3:$G$619,MATCH("EmployeeGroup",Template!$D$2:$G$2,0),FALSE),"NA")</f>
        <v>Gerente</v>
      </c>
      <c r="AA63" s="17" t="str">
        <f>IFERROR(VLOOKUP(Template!$M63,Template!$D$3:$V$619,MATCH("Layer",Template!$D$2:$V$2,0),FALSE),"NA")</f>
        <v>N2</v>
      </c>
      <c r="AB63" s="21">
        <f>VLOOKUP(Template!$M63,Template!$D$3:$F$619,MATCH("InternalGrade",Template!$D$2:$F$2,0),FALSE)-Template!$F63</f>
        <v>3</v>
      </c>
      <c r="AC63" s="17">
        <f>IF(Template!$AB63&lt;=1, 0.8,IF(Template!$AB63=2,0.4,IF(Template!$AB63=3,0.2,IF(Template!$AB63=4,0.1,IF(Template!$AB63&gt;=5,0.05,"erro")))))</f>
        <v>0.2</v>
      </c>
      <c r="AD63" s="17" t="b">
        <f>Template!$D63=Template!$M63</f>
        <v>0</v>
      </c>
      <c r="AE63" s="12" t="s">
        <v>58</v>
      </c>
    </row>
    <row r="64" ht="15.75" customHeight="1">
      <c r="A64" s="7" t="s">
        <v>59</v>
      </c>
      <c r="B64" s="7" t="s">
        <v>80</v>
      </c>
      <c r="C64" s="7" t="s">
        <v>94</v>
      </c>
      <c r="D64" s="13">
        <v>20450.0</v>
      </c>
      <c r="E64" s="7" t="s">
        <v>141</v>
      </c>
      <c r="F64" s="13">
        <v>18.0</v>
      </c>
      <c r="G64" s="22" t="s">
        <v>87</v>
      </c>
      <c r="H64" s="7" t="s">
        <v>64</v>
      </c>
      <c r="I64" s="7" t="s">
        <v>65</v>
      </c>
      <c r="J64" s="7" t="s">
        <v>70</v>
      </c>
      <c r="K64" s="15">
        <v>44655.0</v>
      </c>
      <c r="L64" s="15">
        <v>35347.0</v>
      </c>
      <c r="M64" s="13">
        <v>24307.0</v>
      </c>
      <c r="N64" s="7">
        <v>10690.0</v>
      </c>
      <c r="O64" s="7"/>
      <c r="P64" s="7">
        <v>13.33</v>
      </c>
      <c r="Q64" s="7">
        <v>16035.0</v>
      </c>
      <c r="R64" s="20">
        <v>0.0</v>
      </c>
      <c r="S64" s="7"/>
      <c r="T64" s="20"/>
      <c r="U64" s="16">
        <f>SUM(Template!$N64:$O64)*Template!$P64+Template!$Q64</f>
        <v>158532.7</v>
      </c>
      <c r="V64" s="17" t="str">
        <f>IF(Template!$M64="CONSELHO","N",IF(Template!$AA64="N","N1",IF(Template!$AA64="N1","N2",IF(Template!$AA64="N2","N3",IF(Template!$AA64="N3","N4",IF(Template!$AA64="N4","N5",IF(Template!$AA64="N5","N6",IF(Template!$AA64="N6","N7",IF(Template!$AA64="N7","N8",IF(Template!$AA64="N8","N9",IF(Template!$AA64="N9","N10","NA")))))))))))</f>
        <v>N2</v>
      </c>
      <c r="W64" s="17">
        <f>COUNTIF(Template!$M$3:$M$619,Template!$D64)</f>
        <v>5</v>
      </c>
      <c r="X64" s="17">
        <f>IF(Template!$F64="","",SUMIF(Template!$M$3:$M$619,Template!$D64,Template!$AC$3:$AC$619))</f>
        <v>0.75</v>
      </c>
      <c r="Y64" s="17" t="str">
        <f>IFERROR(VLOOKUP(Template!$M64,Template!$D$3:$G$619,MATCH("EmployeeJobTitle",Template!$D$2:$G$2,0),FALSE),"NA")</f>
        <v>DIRETOR COMERCIAL</v>
      </c>
      <c r="Z64" s="17" t="str">
        <f>IFERROR(VLOOKUP(Template!$M64,Template!$D$3:$G$619,MATCH("EmployeeGroup",Template!$D$2:$G$2,0),FALSE),"NA")</f>
        <v>Diretor</v>
      </c>
      <c r="AA64" s="17" t="str">
        <f>IFERROR(VLOOKUP(Template!$M64,Template!$D$3:$V$619,MATCH("Layer",Template!$D$2:$V$2,0),FALSE),"NA")</f>
        <v>N1</v>
      </c>
      <c r="AB64" s="21">
        <f>VLOOKUP(Template!$M64,Template!$D$3:$F$619,MATCH("InternalGrade",Template!$D$2:$F$2,0),FALSE)-Template!$F64</f>
        <v>4</v>
      </c>
      <c r="AC64" s="17">
        <f>IF(Template!$AB64&lt;=1, 0.8,IF(Template!$AB64=2,0.4,IF(Template!$AB64=3,0.2,IF(Template!$AB64=4,0.1,IF(Template!$AB64&gt;=5,0.05,"erro")))))</f>
        <v>0.1</v>
      </c>
      <c r="AD64" s="17" t="b">
        <f>Template!$D64=Template!$M64</f>
        <v>0</v>
      </c>
      <c r="AE64" s="12" t="s">
        <v>58</v>
      </c>
    </row>
    <row r="65" ht="15.75" customHeight="1">
      <c r="A65" s="7" t="s">
        <v>59</v>
      </c>
      <c r="B65" s="7" t="s">
        <v>67</v>
      </c>
      <c r="C65" s="7" t="s">
        <v>68</v>
      </c>
      <c r="D65" s="13">
        <v>17138.0</v>
      </c>
      <c r="E65" s="7" t="s">
        <v>142</v>
      </c>
      <c r="F65" s="13">
        <v>15.0</v>
      </c>
      <c r="G65" s="14" t="s">
        <v>63</v>
      </c>
      <c r="H65" s="7" t="s">
        <v>64</v>
      </c>
      <c r="I65" s="7" t="s">
        <v>65</v>
      </c>
      <c r="J65" s="7" t="s">
        <v>70</v>
      </c>
      <c r="K65" s="15">
        <v>43395.0</v>
      </c>
      <c r="L65" s="15">
        <v>25039.0</v>
      </c>
      <c r="M65" s="13">
        <v>23265.0</v>
      </c>
      <c r="N65" s="7">
        <v>6251.0</v>
      </c>
      <c r="O65" s="7"/>
      <c r="P65" s="7">
        <v>13.33</v>
      </c>
      <c r="Q65" s="7">
        <v>6251.0</v>
      </c>
      <c r="R65" s="20">
        <v>0.0</v>
      </c>
      <c r="S65" s="7"/>
      <c r="T65" s="20"/>
      <c r="U65" s="16">
        <f>SUM(Template!$N65:$O65)*Template!$P65+Template!$Q65</f>
        <v>89576.83</v>
      </c>
      <c r="V65" s="17" t="str">
        <f>IF(Template!$M65="CONSELHO","N",IF(Template!$AA65="N","N1",IF(Template!$AA65="N1","N2",IF(Template!$AA65="N2","N3",IF(Template!$AA65="N3","N4",IF(Template!$AA65="N4","N5",IF(Template!$AA65="N5","N6",IF(Template!$AA65="N6","N7",IF(Template!$AA65="N7","N8",IF(Template!$AA65="N8","N9",IF(Template!$AA65="N9","N10","NA")))))))))))</f>
        <v>N2</v>
      </c>
      <c r="W65" s="17">
        <f>COUNTIF(Template!$M$3:$M$619,Template!$D65)</f>
        <v>0</v>
      </c>
      <c r="X65" s="17">
        <f>IF(Template!$F65="","",SUMIF(Template!$M$3:$M$619,Template!$D65,Template!$AC$3:$AC$619))</f>
        <v>0</v>
      </c>
      <c r="Y65" s="17" t="str">
        <f>IFERROR(VLOOKUP(Template!$M65,Template!$D$3:$G$619,MATCH("EmployeeJobTitle",Template!$D$2:$G$2,0),FALSE),"NA")</f>
        <v>DIRETORA DE PRODUTO E ESTILO</v>
      </c>
      <c r="Z65" s="17" t="str">
        <f>IFERROR(VLOOKUP(Template!$M65,Template!$D$3:$G$619,MATCH("EmployeeGroup",Template!$D$2:$G$2,0),FALSE),"NA")</f>
        <v>Diretor</v>
      </c>
      <c r="AA65" s="17" t="str">
        <f>IFERROR(VLOOKUP(Template!$M65,Template!$D$3:$V$619,MATCH("Layer",Template!$D$2:$V$2,0),FALSE),"NA")</f>
        <v>N1</v>
      </c>
      <c r="AB65" s="21">
        <f>VLOOKUP(Template!$M65,Template!$D$3:$F$619,MATCH("InternalGrade",Template!$D$2:$F$2,0),FALSE)-Template!$F65</f>
        <v>6</v>
      </c>
      <c r="AC65" s="17">
        <f>IF(Template!$AB65&lt;=1, 0.8,IF(Template!$AB65=2,0.4,IF(Template!$AB65=3,0.2,IF(Template!$AB65=4,0.1,IF(Template!$AB65&gt;=5,0.05,"erro")))))</f>
        <v>0.05</v>
      </c>
      <c r="AD65" s="17" t="b">
        <f>Template!$D65=Template!$M65</f>
        <v>0</v>
      </c>
      <c r="AE65" s="12" t="s">
        <v>58</v>
      </c>
    </row>
    <row r="66" ht="15.75" customHeight="1">
      <c r="A66" s="7" t="s">
        <v>59</v>
      </c>
      <c r="B66" s="7" t="s">
        <v>71</v>
      </c>
      <c r="C66" s="7" t="s">
        <v>84</v>
      </c>
      <c r="D66" s="13">
        <v>23893.0</v>
      </c>
      <c r="E66" s="7" t="s">
        <v>143</v>
      </c>
      <c r="F66" s="13">
        <v>16.0</v>
      </c>
      <c r="G66" s="14" t="s">
        <v>63</v>
      </c>
      <c r="H66" s="7" t="s">
        <v>64</v>
      </c>
      <c r="I66" s="7" t="s">
        <v>65</v>
      </c>
      <c r="J66" s="7" t="s">
        <v>70</v>
      </c>
      <c r="K66" s="15">
        <v>44998.0</v>
      </c>
      <c r="L66" s="15">
        <v>32095.0</v>
      </c>
      <c r="M66" s="13">
        <v>17952.0</v>
      </c>
      <c r="N66" s="7">
        <v>6868.0</v>
      </c>
      <c r="O66" s="7"/>
      <c r="P66" s="7">
        <v>13.33</v>
      </c>
      <c r="Q66" s="7">
        <v>6868.0</v>
      </c>
      <c r="R66" s="20">
        <v>0.0</v>
      </c>
      <c r="S66" s="7"/>
      <c r="T66" s="20"/>
      <c r="U66" s="16">
        <f>SUM(Template!$N66:$O66)*Template!$P66+Template!$Q66</f>
        <v>98418.44</v>
      </c>
      <c r="V66" s="17" t="str">
        <f>IF(Template!$M66="CONSELHO","N",IF(Template!$AA66="N","N1",IF(Template!$AA66="N1","N2",IF(Template!$AA66="N2","N3",IF(Template!$AA66="N3","N4",IF(Template!$AA66="N4","N5",IF(Template!$AA66="N5","N6",IF(Template!$AA66="N6","N7",IF(Template!$AA66="N7","N8",IF(Template!$AA66="N8","N9",IF(Template!$AA66="N9","N10","NA")))))))))))</f>
        <v>N3</v>
      </c>
      <c r="W66" s="17">
        <f>COUNTIF(Template!$M$3:$M$619,Template!$D66)</f>
        <v>0</v>
      </c>
      <c r="X66" s="17">
        <f>IF(Template!$F66="","",SUMIF(Template!$M$3:$M$619,Template!$D66,Template!$AC$3:$AC$619))</f>
        <v>0</v>
      </c>
      <c r="Y66" s="17" t="str">
        <f>IFERROR(VLOOKUP(Template!$M66,Template!$D$3:$G$619,MATCH("EmployeeJobTitle",Template!$D$2:$G$2,0),FALSE),"NA")</f>
        <v>COORDENADOR DE PRODUTOS</v>
      </c>
      <c r="Z66" s="17" t="str">
        <f>IFERROR(VLOOKUP(Template!$M66,Template!$D$3:$G$619,MATCH("EmployeeGroup",Template!$D$2:$G$2,0),FALSE),"NA")</f>
        <v>Coordenador</v>
      </c>
      <c r="AA66" s="17" t="str">
        <f>IFERROR(VLOOKUP(Template!$M66,Template!$D$3:$V$619,MATCH("Layer",Template!$D$2:$V$2,0),FALSE),"NA")</f>
        <v>N2</v>
      </c>
      <c r="AB66" s="21">
        <f>VLOOKUP(Template!$M66,Template!$D$3:$F$619,MATCH("InternalGrade",Template!$D$2:$F$2,0),FALSE)-Template!$F66</f>
        <v>3</v>
      </c>
      <c r="AC66" s="17">
        <f>IF(Template!$AB66&lt;=1, 0.8,IF(Template!$AB66=2,0.4,IF(Template!$AB66=3,0.2,IF(Template!$AB66=4,0.1,IF(Template!$AB66&gt;=5,0.05,"erro")))))</f>
        <v>0.2</v>
      </c>
      <c r="AD66" s="17" t="b">
        <f>Template!$D66=Template!$M66</f>
        <v>0</v>
      </c>
      <c r="AE66" s="12" t="s">
        <v>58</v>
      </c>
    </row>
    <row r="67" ht="15.75" customHeight="1">
      <c r="A67" s="7" t="s">
        <v>59</v>
      </c>
      <c r="B67" s="7" t="s">
        <v>71</v>
      </c>
      <c r="C67" s="7" t="s">
        <v>84</v>
      </c>
      <c r="D67" s="13">
        <v>12629.0</v>
      </c>
      <c r="E67" s="7" t="s">
        <v>144</v>
      </c>
      <c r="F67" s="13">
        <v>17.0</v>
      </c>
      <c r="G67" s="14" t="s">
        <v>63</v>
      </c>
      <c r="H67" s="7" t="s">
        <v>64</v>
      </c>
      <c r="I67" s="7" t="s">
        <v>65</v>
      </c>
      <c r="J67" s="7" t="s">
        <v>70</v>
      </c>
      <c r="K67" s="15">
        <v>41428.0</v>
      </c>
      <c r="L67" s="15">
        <v>33294.0</v>
      </c>
      <c r="M67" s="13">
        <v>17952.0</v>
      </c>
      <c r="N67" s="7">
        <v>12015.44</v>
      </c>
      <c r="O67" s="7"/>
      <c r="P67" s="7">
        <v>13.33</v>
      </c>
      <c r="Q67" s="7">
        <v>12015.44</v>
      </c>
      <c r="R67" s="20">
        <v>0.0</v>
      </c>
      <c r="S67" s="7"/>
      <c r="T67" s="20"/>
      <c r="U67" s="16">
        <f>SUM(Template!$N67:$O67)*Template!$P67+Template!$Q67</f>
        <v>172181.2552</v>
      </c>
      <c r="V67" s="17" t="str">
        <f>IF(Template!$M67="CONSELHO","N",IF(Template!$AA67="N","N1",IF(Template!$AA67="N1","N2",IF(Template!$AA67="N2","N3",IF(Template!$AA67="N3","N4",IF(Template!$AA67="N4","N5",IF(Template!$AA67="N5","N6",IF(Template!$AA67="N6","N7",IF(Template!$AA67="N7","N8",IF(Template!$AA67="N8","N9",IF(Template!$AA67="N9","N10","NA")))))))))))</f>
        <v>N3</v>
      </c>
      <c r="W67" s="17">
        <f>COUNTIF(Template!$M$3:$M$619,Template!$D67)</f>
        <v>0</v>
      </c>
      <c r="X67" s="17">
        <f>IF(Template!$F67="","",SUMIF(Template!$M$3:$M$619,Template!$D67,Template!$AC$3:$AC$619))</f>
        <v>0</v>
      </c>
      <c r="Y67" s="17" t="str">
        <f>IFERROR(VLOOKUP(Template!$M67,Template!$D$3:$G$619,MATCH("EmployeeJobTitle",Template!$D$2:$G$2,0),FALSE),"NA")</f>
        <v>COORDENADOR DE PRODUTOS</v>
      </c>
      <c r="Z67" s="17" t="str">
        <f>IFERROR(VLOOKUP(Template!$M67,Template!$D$3:$G$619,MATCH("EmployeeGroup",Template!$D$2:$G$2,0),FALSE),"NA")</f>
        <v>Coordenador</v>
      </c>
      <c r="AA67" s="17" t="str">
        <f>IFERROR(VLOOKUP(Template!$M67,Template!$D$3:$V$619,MATCH("Layer",Template!$D$2:$V$2,0),FALSE),"NA")</f>
        <v>N2</v>
      </c>
      <c r="AB67" s="21">
        <f>VLOOKUP(Template!$M67,Template!$D$3:$F$619,MATCH("InternalGrade",Template!$D$2:$F$2,0),FALSE)-Template!$F67</f>
        <v>2</v>
      </c>
      <c r="AC67" s="17">
        <f>IF(Template!$AB67&lt;=1, 0.8,IF(Template!$AB67=2,0.4,IF(Template!$AB67=3,0.2,IF(Template!$AB67=4,0.1,IF(Template!$AB67&gt;=5,0.05,"erro")))))</f>
        <v>0.4</v>
      </c>
      <c r="AD67" s="17" t="b">
        <f>Template!$D67=Template!$M67</f>
        <v>0</v>
      </c>
      <c r="AE67" s="12" t="s">
        <v>58</v>
      </c>
    </row>
    <row r="68" ht="15.75" customHeight="1">
      <c r="A68" s="7" t="s">
        <v>59</v>
      </c>
      <c r="B68" s="7" t="s">
        <v>60</v>
      </c>
      <c r="C68" s="7" t="s">
        <v>99</v>
      </c>
      <c r="D68" s="13">
        <v>12070.0</v>
      </c>
      <c r="E68" s="7" t="s">
        <v>136</v>
      </c>
      <c r="F68" s="13">
        <v>15.0</v>
      </c>
      <c r="G68" s="14" t="s">
        <v>63</v>
      </c>
      <c r="H68" s="7" t="s">
        <v>64</v>
      </c>
      <c r="I68" s="7" t="s">
        <v>65</v>
      </c>
      <c r="J68" s="7" t="s">
        <v>66</v>
      </c>
      <c r="K68" s="15">
        <v>41199.0</v>
      </c>
      <c r="L68" s="15">
        <v>30221.0</v>
      </c>
      <c r="M68" s="13">
        <v>19643.0</v>
      </c>
      <c r="N68" s="7">
        <v>5775.0</v>
      </c>
      <c r="O68" s="7"/>
      <c r="P68" s="7">
        <v>13.33</v>
      </c>
      <c r="Q68" s="7">
        <v>5775.0</v>
      </c>
      <c r="R68" s="20">
        <v>0.0</v>
      </c>
      <c r="S68" s="7"/>
      <c r="T68" s="20"/>
      <c r="U68" s="16">
        <f>SUM(Template!$N68:$O68)*Template!$P68+Template!$Q68</f>
        <v>82755.75</v>
      </c>
      <c r="V68" s="17" t="str">
        <f>IF(Template!$M68="CONSELHO","N",IF(Template!$AA68="N","N1",IF(Template!$AA68="N1","N2",IF(Template!$AA68="N2","N3",IF(Template!$AA68="N3","N4",IF(Template!$AA68="N4","N5",IF(Template!$AA68="N5","N6",IF(Template!$AA68="N6","N7",IF(Template!$AA68="N7","N8",IF(Template!$AA68="N8","N9",IF(Template!$AA68="N9","N10","NA")))))))))))</f>
        <v>N4</v>
      </c>
      <c r="W68" s="17">
        <f>COUNTIF(Template!$M$3:$M$619,Template!$D68)</f>
        <v>0</v>
      </c>
      <c r="X68" s="17">
        <f>IF(Template!$F68="","",SUMIF(Template!$M$3:$M$619,Template!$D68,Template!$AC$3:$AC$619))</f>
        <v>0</v>
      </c>
      <c r="Y68" s="17" t="str">
        <f>IFERROR(VLOOKUP(Template!$M68,Template!$D$3:$G$619,MATCH("EmployeeJobTitle",Template!$D$2:$G$2,0),FALSE),"NA")</f>
        <v>COORDENADOR CONTABIL</v>
      </c>
      <c r="Z68" s="17" t="str">
        <f>IFERROR(VLOOKUP(Template!$M68,Template!$D$3:$G$619,MATCH("EmployeeGroup",Template!$D$2:$G$2,0),FALSE),"NA")</f>
        <v>Coordenador</v>
      </c>
      <c r="AA68" s="17" t="str">
        <f>IFERROR(VLOOKUP(Template!$M68,Template!$D$3:$V$619,MATCH("Layer",Template!$D$2:$V$2,0),FALSE),"NA")</f>
        <v>N3</v>
      </c>
      <c r="AB68" s="21">
        <f>VLOOKUP(Template!$M68,Template!$D$3:$F$619,MATCH("InternalGrade",Template!$D$2:$F$2,0),FALSE)-Template!$F68</f>
        <v>2</v>
      </c>
      <c r="AC68" s="17">
        <f>IF(Template!$AB68&lt;=1, 0.8,IF(Template!$AB68=2,0.4,IF(Template!$AB68=3,0.2,IF(Template!$AB68=4,0.1,IF(Template!$AB68&gt;=5,0.05,"erro")))))</f>
        <v>0.4</v>
      </c>
      <c r="AD68" s="17" t="b">
        <f>Template!$D68=Template!$M68</f>
        <v>0</v>
      </c>
      <c r="AE68" s="12" t="s">
        <v>58</v>
      </c>
    </row>
    <row r="69" ht="15.75" customHeight="1">
      <c r="A69" s="7" t="s">
        <v>59</v>
      </c>
      <c r="B69" s="7" t="s">
        <v>60</v>
      </c>
      <c r="C69" s="7" t="s">
        <v>99</v>
      </c>
      <c r="D69" s="13">
        <v>25257.0</v>
      </c>
      <c r="E69" s="7" t="s">
        <v>145</v>
      </c>
      <c r="F69" s="13">
        <v>13.0</v>
      </c>
      <c r="G69" s="14" t="s">
        <v>63</v>
      </c>
      <c r="H69" s="7" t="s">
        <v>64</v>
      </c>
      <c r="I69" s="7" t="s">
        <v>65</v>
      </c>
      <c r="J69" s="7" t="s">
        <v>70</v>
      </c>
      <c r="K69" s="15">
        <v>45509.0</v>
      </c>
      <c r="L69" s="15">
        <v>35805.0</v>
      </c>
      <c r="M69" s="13">
        <v>11398.0</v>
      </c>
      <c r="N69" s="7">
        <v>2800.0</v>
      </c>
      <c r="O69" s="7"/>
      <c r="P69" s="7">
        <v>13.33</v>
      </c>
      <c r="Q69" s="7">
        <v>2800.0</v>
      </c>
      <c r="R69" s="20">
        <v>0.0</v>
      </c>
      <c r="S69" s="7"/>
      <c r="T69" s="20"/>
      <c r="U69" s="16">
        <f>SUM(Template!$N69:$O69)*Template!$P69+Template!$Q69</f>
        <v>40124</v>
      </c>
      <c r="V69" s="17" t="str">
        <f>IF(Template!$M69="CONSELHO","N",IF(Template!$AA69="N","N1",IF(Template!$AA69="N1","N2",IF(Template!$AA69="N2","N3",IF(Template!$AA69="N3","N4",IF(Template!$AA69="N4","N5",IF(Template!$AA69="N5","N6",IF(Template!$AA69="N6","N7",IF(Template!$AA69="N7","N8",IF(Template!$AA69="N8","N9",IF(Template!$AA69="N9","N10","NA")))))))))))</f>
        <v>N4</v>
      </c>
      <c r="W69" s="17">
        <f>COUNTIF(Template!$M$3:$M$619,Template!$D69)</f>
        <v>0</v>
      </c>
      <c r="X69" s="17">
        <f>IF(Template!$F69="","",SUMIF(Template!$M$3:$M$619,Template!$D69,Template!$AC$3:$AC$619))</f>
        <v>0</v>
      </c>
      <c r="Y69" s="17" t="str">
        <f>IFERROR(VLOOKUP(Template!$M69,Template!$D$3:$G$619,MATCH("EmployeeJobTitle",Template!$D$2:$G$2,0),FALSE),"NA")</f>
        <v>COORDENADOR FISCAL</v>
      </c>
      <c r="Z69" s="17" t="str">
        <f>IFERROR(VLOOKUP(Template!$M69,Template!$D$3:$G$619,MATCH("EmployeeGroup",Template!$D$2:$G$2,0),FALSE),"NA")</f>
        <v>Coordenador</v>
      </c>
      <c r="AA69" s="17" t="str">
        <f>IFERROR(VLOOKUP(Template!$M69,Template!$D$3:$V$619,MATCH("Layer",Template!$D$2:$V$2,0),FALSE),"NA")</f>
        <v>N3</v>
      </c>
      <c r="AB69" s="21">
        <f>VLOOKUP(Template!$M69,Template!$D$3:$F$619,MATCH("InternalGrade",Template!$D$2:$F$2,0),FALSE)-Template!$F69</f>
        <v>5</v>
      </c>
      <c r="AC69" s="17">
        <f>IF(Template!$AB69&lt;=1, 0.8,IF(Template!$AB69=2,0.4,IF(Template!$AB69=3,0.2,IF(Template!$AB69=4,0.1,IF(Template!$AB69&gt;=5,0.05,"erro")))))</f>
        <v>0.05</v>
      </c>
      <c r="AD69" s="17" t="b">
        <f>Template!$D69=Template!$M69</f>
        <v>0</v>
      </c>
      <c r="AE69" s="12" t="s">
        <v>58</v>
      </c>
    </row>
    <row r="70" ht="15.75" customHeight="1">
      <c r="A70" s="7" t="s">
        <v>59</v>
      </c>
      <c r="B70" s="7" t="s">
        <v>80</v>
      </c>
      <c r="C70" s="7" t="s">
        <v>94</v>
      </c>
      <c r="D70" s="13">
        <v>25256.0</v>
      </c>
      <c r="E70" s="7" t="s">
        <v>146</v>
      </c>
      <c r="F70" s="13">
        <v>15.0</v>
      </c>
      <c r="G70" s="14" t="s">
        <v>63</v>
      </c>
      <c r="H70" s="7" t="s">
        <v>64</v>
      </c>
      <c r="I70" s="7" t="s">
        <v>65</v>
      </c>
      <c r="J70" s="7" t="s">
        <v>70</v>
      </c>
      <c r="K70" s="15">
        <v>45509.0</v>
      </c>
      <c r="L70" s="15">
        <v>35739.0</v>
      </c>
      <c r="M70" s="13">
        <v>20450.0</v>
      </c>
      <c r="N70" s="7">
        <v>4749.0</v>
      </c>
      <c r="O70" s="7"/>
      <c r="P70" s="7">
        <v>13.33</v>
      </c>
      <c r="Q70" s="7">
        <v>4749.0</v>
      </c>
      <c r="R70" s="20">
        <v>0.0</v>
      </c>
      <c r="S70" s="7"/>
      <c r="T70" s="20"/>
      <c r="U70" s="16">
        <f>SUM(Template!$N70:$O70)*Template!$P70+Template!$Q70</f>
        <v>68053.17</v>
      </c>
      <c r="V70" s="17" t="str">
        <f>IF(Template!$M70="CONSELHO","N",IF(Template!$AA70="N","N1",IF(Template!$AA70="N1","N2",IF(Template!$AA70="N2","N3",IF(Template!$AA70="N3","N4",IF(Template!$AA70="N4","N5",IF(Template!$AA70="N5","N6",IF(Template!$AA70="N6","N7",IF(Template!$AA70="N7","N8",IF(Template!$AA70="N8","N9",IF(Template!$AA70="N9","N10","NA")))))))))))</f>
        <v>N3</v>
      </c>
      <c r="W70" s="17">
        <f>COUNTIF(Template!$M$3:$M$619,Template!$D70)</f>
        <v>0</v>
      </c>
      <c r="X70" s="17">
        <f>IF(Template!$F70="","",SUMIF(Template!$M$3:$M$619,Template!$D70,Template!$AC$3:$AC$619))</f>
        <v>0</v>
      </c>
      <c r="Y70" s="17" t="str">
        <f>IFERROR(VLOOKUP(Template!$M70,Template!$D$3:$G$619,MATCH("EmployeeJobTitle",Template!$D$2:$G$2,0),FALSE),"NA")</f>
        <v>COORDENADOR DE ECOMMERCE</v>
      </c>
      <c r="Z70" s="17" t="str">
        <f>IFERROR(VLOOKUP(Template!$M70,Template!$D$3:$G$619,MATCH("EmployeeGroup",Template!$D$2:$G$2,0),FALSE),"NA")</f>
        <v>Coordenador</v>
      </c>
      <c r="AA70" s="17" t="str">
        <f>IFERROR(VLOOKUP(Template!$M70,Template!$D$3:$V$619,MATCH("Layer",Template!$D$2:$V$2,0),FALSE),"NA")</f>
        <v>N2</v>
      </c>
      <c r="AB70" s="21">
        <f>VLOOKUP(Template!$M70,Template!$D$3:$F$619,MATCH("InternalGrade",Template!$D$2:$F$2,0),FALSE)-Template!$F70</f>
        <v>3</v>
      </c>
      <c r="AC70" s="17">
        <f>IF(Template!$AB70&lt;=1, 0.8,IF(Template!$AB70=2,0.4,IF(Template!$AB70=3,0.2,IF(Template!$AB70=4,0.1,IF(Template!$AB70&gt;=5,0.05,"erro")))))</f>
        <v>0.2</v>
      </c>
      <c r="AD70" s="17" t="b">
        <f>Template!$D70=Template!$M70</f>
        <v>0</v>
      </c>
      <c r="AE70" s="12" t="s">
        <v>58</v>
      </c>
    </row>
    <row r="71" ht="15.75" customHeight="1">
      <c r="A71" s="7" t="s">
        <v>59</v>
      </c>
      <c r="B71" s="7" t="s">
        <v>80</v>
      </c>
      <c r="C71" s="7" t="s">
        <v>81</v>
      </c>
      <c r="D71" s="13">
        <v>25075.0</v>
      </c>
      <c r="E71" s="7" t="s">
        <v>82</v>
      </c>
      <c r="F71" s="13">
        <v>15.0</v>
      </c>
      <c r="G71" s="14" t="s">
        <v>63</v>
      </c>
      <c r="H71" s="7" t="s">
        <v>64</v>
      </c>
      <c r="I71" s="7" t="s">
        <v>65</v>
      </c>
      <c r="J71" s="7" t="s">
        <v>70</v>
      </c>
      <c r="K71" s="15">
        <v>45432.0</v>
      </c>
      <c r="L71" s="15">
        <v>36734.0</v>
      </c>
      <c r="M71" s="13">
        <v>21878.0</v>
      </c>
      <c r="N71" s="7">
        <v>5000.0</v>
      </c>
      <c r="O71" s="7"/>
      <c r="P71" s="7">
        <v>13.33</v>
      </c>
      <c r="Q71" s="7">
        <v>5000.0</v>
      </c>
      <c r="R71" s="20">
        <v>0.0</v>
      </c>
      <c r="S71" s="7"/>
      <c r="T71" s="20"/>
      <c r="U71" s="16">
        <f>SUM(Template!$N71:$O71)*Template!$P71+Template!$Q71</f>
        <v>71650</v>
      </c>
      <c r="V71" s="17" t="str">
        <f>IF(Template!$M71="CONSELHO","N",IF(Template!$AA71="N","N1",IF(Template!$AA71="N1","N2",IF(Template!$AA71="N2","N3",IF(Template!$AA71="N3","N4",IF(Template!$AA71="N4","N5",IF(Template!$AA71="N5","N6",IF(Template!$AA71="N6","N7",IF(Template!$AA71="N7","N8",IF(Template!$AA71="N8","N9",IF(Template!$AA71="N9","N10","NA")))))))))))</f>
        <v>N4</v>
      </c>
      <c r="W71" s="17">
        <f>COUNTIF(Template!$M$3:$M$619,Template!$D71)</f>
        <v>0</v>
      </c>
      <c r="X71" s="17">
        <f>IF(Template!$F71="","",SUMIF(Template!$M$3:$M$619,Template!$D71,Template!$AC$3:$AC$619))</f>
        <v>0</v>
      </c>
      <c r="Y71" s="17" t="str">
        <f>IFERROR(VLOOKUP(Template!$M71,Template!$D$3:$G$619,MATCH("EmployeeJobTitle",Template!$D$2:$G$2,0),FALSE),"NA")</f>
        <v>COORDENADOR DE INTELIGÊNCIA COMERCIAL</v>
      </c>
      <c r="Z71" s="17" t="str">
        <f>IFERROR(VLOOKUP(Template!$M71,Template!$D$3:$G$619,MATCH("EmployeeGroup",Template!$D$2:$G$2,0),FALSE),"NA")</f>
        <v>Coordenador</v>
      </c>
      <c r="AA71" s="17" t="str">
        <f>IFERROR(VLOOKUP(Template!$M71,Template!$D$3:$V$619,MATCH("Layer",Template!$D$2:$V$2,0),FALSE),"NA")</f>
        <v>N3</v>
      </c>
      <c r="AB71" s="21">
        <f>VLOOKUP(Template!$M71,Template!$D$3:$F$619,MATCH("InternalGrade",Template!$D$2:$F$2,0),FALSE)-Template!$F71</f>
        <v>3</v>
      </c>
      <c r="AC71" s="17">
        <f>IF(Template!$AB71&lt;=1, 0.8,IF(Template!$AB71=2,0.4,IF(Template!$AB71=3,0.2,IF(Template!$AB71=4,0.1,IF(Template!$AB71&gt;=5,0.05,"erro")))))</f>
        <v>0.2</v>
      </c>
      <c r="AD71" s="17" t="b">
        <f>Template!$D71=Template!$M71</f>
        <v>0</v>
      </c>
      <c r="AE71" s="12" t="s">
        <v>58</v>
      </c>
    </row>
    <row r="72" ht="15.75" customHeight="1">
      <c r="A72" s="7" t="s">
        <v>59</v>
      </c>
      <c r="B72" s="7" t="s">
        <v>75</v>
      </c>
      <c r="C72" s="7" t="s">
        <v>89</v>
      </c>
      <c r="D72" s="13">
        <v>14939.0</v>
      </c>
      <c r="E72" s="7" t="s">
        <v>147</v>
      </c>
      <c r="F72" s="13">
        <v>14.0</v>
      </c>
      <c r="G72" s="14" t="s">
        <v>63</v>
      </c>
      <c r="H72" s="7" t="s">
        <v>64</v>
      </c>
      <c r="I72" s="7" t="s">
        <v>65</v>
      </c>
      <c r="J72" s="7" t="s">
        <v>70</v>
      </c>
      <c r="K72" s="15">
        <v>42450.0</v>
      </c>
      <c r="L72" s="15">
        <v>34596.0</v>
      </c>
      <c r="M72" s="13">
        <v>23266.0</v>
      </c>
      <c r="N72" s="7">
        <v>4852.0</v>
      </c>
      <c r="O72" s="7"/>
      <c r="P72" s="7">
        <v>13.33</v>
      </c>
      <c r="Q72" s="7">
        <v>4852.0</v>
      </c>
      <c r="R72" s="20">
        <v>0.0</v>
      </c>
      <c r="S72" s="7"/>
      <c r="T72" s="20"/>
      <c r="U72" s="16">
        <f>SUM(Template!$N72:$O72)*Template!$P72+Template!$Q72</f>
        <v>69529.16</v>
      </c>
      <c r="V72" s="17" t="str">
        <f>IF(Template!$M72="CONSELHO","N",IF(Template!$AA72="N","N1",IF(Template!$AA72="N1","N2",IF(Template!$AA72="N2","N3",IF(Template!$AA72="N3","N4",IF(Template!$AA72="N4","N5",IF(Template!$AA72="N5","N6",IF(Template!$AA72="N6","N7",IF(Template!$AA72="N7","N8",IF(Template!$AA72="N8","N9",IF(Template!$AA72="N9","N10","NA")))))))))))</f>
        <v>N3</v>
      </c>
      <c r="W72" s="17">
        <f>COUNTIF(Template!$M$3:$M$619,Template!$D72)</f>
        <v>0</v>
      </c>
      <c r="X72" s="17">
        <f>IF(Template!$F72="","",SUMIF(Template!$M$3:$M$619,Template!$D72,Template!$AC$3:$AC$619))</f>
        <v>0</v>
      </c>
      <c r="Y72" s="17" t="str">
        <f>IFERROR(VLOOKUP(Template!$M72,Template!$D$3:$G$619,MATCH("EmployeeJobTitle",Template!$D$2:$G$2,0),FALSE),"NA")</f>
        <v>GERENTE DE VM</v>
      </c>
      <c r="Z72" s="17" t="str">
        <f>IFERROR(VLOOKUP(Template!$M72,Template!$D$3:$G$619,MATCH("EmployeeGroup",Template!$D$2:$G$2,0),FALSE),"NA")</f>
        <v>Gerente</v>
      </c>
      <c r="AA72" s="17" t="str">
        <f>IFERROR(VLOOKUP(Template!$M72,Template!$D$3:$V$619,MATCH("Layer",Template!$D$2:$V$2,0),FALSE),"NA")</f>
        <v>N2</v>
      </c>
      <c r="AB72" s="21">
        <f>VLOOKUP(Template!$M72,Template!$D$3:$F$619,MATCH("InternalGrade",Template!$D$2:$F$2,0),FALSE)-Template!$F72</f>
        <v>5</v>
      </c>
      <c r="AC72" s="17">
        <f>IF(Template!$AB72&lt;=1, 0.8,IF(Template!$AB72=2,0.4,IF(Template!$AB72=3,0.2,IF(Template!$AB72=4,0.1,IF(Template!$AB72&gt;=5,0.05,"erro")))))</f>
        <v>0.05</v>
      </c>
      <c r="AD72" s="17" t="b">
        <f>Template!$D72=Template!$M72</f>
        <v>0</v>
      </c>
      <c r="AE72" s="12" t="s">
        <v>58</v>
      </c>
    </row>
    <row r="73" ht="15.75" customHeight="1">
      <c r="A73" s="7" t="s">
        <v>59</v>
      </c>
      <c r="B73" s="7" t="s">
        <v>60</v>
      </c>
      <c r="C73" s="7" t="s">
        <v>99</v>
      </c>
      <c r="D73" s="13">
        <v>19643.0</v>
      </c>
      <c r="E73" s="7" t="s">
        <v>148</v>
      </c>
      <c r="F73" s="13">
        <v>17.0</v>
      </c>
      <c r="G73" s="22" t="s">
        <v>87</v>
      </c>
      <c r="H73" s="7" t="s">
        <v>64</v>
      </c>
      <c r="I73" s="7" t="s">
        <v>65</v>
      </c>
      <c r="J73" s="7" t="s">
        <v>70</v>
      </c>
      <c r="K73" s="15">
        <v>44378.0</v>
      </c>
      <c r="L73" s="15">
        <v>29586.0</v>
      </c>
      <c r="M73" s="13">
        <v>23251.0</v>
      </c>
      <c r="N73" s="7">
        <v>10427.0</v>
      </c>
      <c r="O73" s="7"/>
      <c r="P73" s="7">
        <v>13.33</v>
      </c>
      <c r="Q73" s="7">
        <v>15640.5</v>
      </c>
      <c r="R73" s="20">
        <v>0.0</v>
      </c>
      <c r="S73" s="7"/>
      <c r="T73" s="20"/>
      <c r="U73" s="16">
        <f>SUM(Template!$N73:$O73)*Template!$P73+Template!$Q73</f>
        <v>154632.41</v>
      </c>
      <c r="V73" s="17" t="str">
        <f>IF(Template!$M73="CONSELHO","N",IF(Template!$AA73="N","N1",IF(Template!$AA73="N1","N2",IF(Template!$AA73="N2","N3",IF(Template!$AA73="N3","N4",IF(Template!$AA73="N4","N5",IF(Template!$AA73="N5","N6",IF(Template!$AA73="N6","N7",IF(Template!$AA73="N7","N8",IF(Template!$AA73="N8","N9",IF(Template!$AA73="N9","N10","NA")))))))))))</f>
        <v>N3</v>
      </c>
      <c r="W73" s="17">
        <f>COUNTIF(Template!$M$3:$M$619,Template!$D73)</f>
        <v>2</v>
      </c>
      <c r="X73" s="17">
        <f>IF(Template!$F73="","",SUMIF(Template!$M$3:$M$619,Template!$D73,Template!$AC$3:$AC$619))</f>
        <v>0.8</v>
      </c>
      <c r="Y73" s="17" t="str">
        <f>IFERROR(VLOOKUP(Template!$M73,Template!$D$3:$G$619,MATCH("EmployeeJobTitle",Template!$D$2:$G$2,0),FALSE),"NA")</f>
        <v>GERENTE DE CONTROLADORIA</v>
      </c>
      <c r="Z73" s="17" t="str">
        <f>IFERROR(VLOOKUP(Template!$M73,Template!$D$3:$G$619,MATCH("EmployeeGroup",Template!$D$2:$G$2,0),FALSE),"NA")</f>
        <v>Gerente</v>
      </c>
      <c r="AA73" s="17" t="str">
        <f>IFERROR(VLOOKUP(Template!$M73,Template!$D$3:$V$619,MATCH("Layer",Template!$D$2:$V$2,0),FALSE),"NA")</f>
        <v>N2</v>
      </c>
      <c r="AB73" s="21">
        <f>VLOOKUP(Template!$M73,Template!$D$3:$F$619,MATCH("InternalGrade",Template!$D$2:$F$2,0),FALSE)-Template!$F73</f>
        <v>2</v>
      </c>
      <c r="AC73" s="17">
        <f>IF(Template!$AB73&lt;=1, 0.8,IF(Template!$AB73=2,0.4,IF(Template!$AB73=3,0.2,IF(Template!$AB73=4,0.1,IF(Template!$AB73&gt;=5,0.05,"erro")))))</f>
        <v>0.4</v>
      </c>
      <c r="AD73" s="17" t="b">
        <f>Template!$D73=Template!$M73</f>
        <v>0</v>
      </c>
      <c r="AE73" s="12" t="s">
        <v>58</v>
      </c>
    </row>
    <row r="74" ht="15.75" customHeight="1">
      <c r="A74" s="7" t="s">
        <v>59</v>
      </c>
      <c r="B74" s="7" t="s">
        <v>75</v>
      </c>
      <c r="C74" s="7" t="s">
        <v>89</v>
      </c>
      <c r="D74" s="13">
        <v>21991.0</v>
      </c>
      <c r="E74" s="7" t="s">
        <v>149</v>
      </c>
      <c r="F74" s="13">
        <v>16.0</v>
      </c>
      <c r="G74" s="14" t="s">
        <v>63</v>
      </c>
      <c r="H74" s="7" t="s">
        <v>64</v>
      </c>
      <c r="I74" s="7" t="s">
        <v>65</v>
      </c>
      <c r="J74" s="7" t="s">
        <v>66</v>
      </c>
      <c r="K74" s="15">
        <v>44837.0</v>
      </c>
      <c r="L74" s="15">
        <v>32560.0</v>
      </c>
      <c r="M74" s="13">
        <v>23266.0</v>
      </c>
      <c r="N74" s="7">
        <v>7406.0</v>
      </c>
      <c r="O74" s="7"/>
      <c r="P74" s="7">
        <v>13.33</v>
      </c>
      <c r="Q74" s="7">
        <v>7406.0</v>
      </c>
      <c r="R74" s="20">
        <v>0.0</v>
      </c>
      <c r="S74" s="7"/>
      <c r="T74" s="20"/>
      <c r="U74" s="16">
        <f>SUM(Template!$N74:$O74)*Template!$P74+Template!$Q74</f>
        <v>106127.98</v>
      </c>
      <c r="V74" s="17" t="str">
        <f>IF(Template!$M74="CONSELHO","N",IF(Template!$AA74="N","N1",IF(Template!$AA74="N1","N2",IF(Template!$AA74="N2","N3",IF(Template!$AA74="N3","N4",IF(Template!$AA74="N4","N5",IF(Template!$AA74="N5","N6",IF(Template!$AA74="N6","N7",IF(Template!$AA74="N7","N8",IF(Template!$AA74="N8","N9",IF(Template!$AA74="N9","N10","NA")))))))))))</f>
        <v>N3</v>
      </c>
      <c r="W74" s="17">
        <f>COUNTIF(Template!$M$3:$M$619,Template!$D74)</f>
        <v>0</v>
      </c>
      <c r="X74" s="17">
        <f>IF(Template!$F74="","",SUMIF(Template!$M$3:$M$619,Template!$D74,Template!$AC$3:$AC$619))</f>
        <v>0</v>
      </c>
      <c r="Y74" s="17" t="str">
        <f>IFERROR(VLOOKUP(Template!$M74,Template!$D$3:$G$619,MATCH("EmployeeJobTitle",Template!$D$2:$G$2,0),FALSE),"NA")</f>
        <v>GERENTE DE VM</v>
      </c>
      <c r="Z74" s="17" t="str">
        <f>IFERROR(VLOOKUP(Template!$M74,Template!$D$3:$G$619,MATCH("EmployeeGroup",Template!$D$2:$G$2,0),FALSE),"NA")</f>
        <v>Gerente</v>
      </c>
      <c r="AA74" s="17" t="str">
        <f>IFERROR(VLOOKUP(Template!$M74,Template!$D$3:$V$619,MATCH("Layer",Template!$D$2:$V$2,0),FALSE),"NA")</f>
        <v>N2</v>
      </c>
      <c r="AB74" s="21">
        <f>VLOOKUP(Template!$M74,Template!$D$3:$F$619,MATCH("InternalGrade",Template!$D$2:$F$2,0),FALSE)-Template!$F74</f>
        <v>3</v>
      </c>
      <c r="AC74" s="17">
        <f>IF(Template!$AB74&lt;=1, 0.8,IF(Template!$AB74=2,0.4,IF(Template!$AB74=3,0.2,IF(Template!$AB74=4,0.1,IF(Template!$AB74&gt;=5,0.05,"erro")))))</f>
        <v>0.2</v>
      </c>
      <c r="AD74" s="17" t="b">
        <f>Template!$D74=Template!$M74</f>
        <v>0</v>
      </c>
      <c r="AE74" s="12" t="s">
        <v>58</v>
      </c>
    </row>
    <row r="75" ht="15.75" customHeight="1">
      <c r="A75" s="7" t="s">
        <v>59</v>
      </c>
      <c r="B75" s="7" t="s">
        <v>67</v>
      </c>
      <c r="C75" s="7" t="s">
        <v>68</v>
      </c>
      <c r="D75" s="13">
        <v>17590.0</v>
      </c>
      <c r="E75" s="7" t="s">
        <v>150</v>
      </c>
      <c r="F75" s="13">
        <v>16.0</v>
      </c>
      <c r="G75" s="14" t="s">
        <v>63</v>
      </c>
      <c r="H75" s="7" t="s">
        <v>64</v>
      </c>
      <c r="I75" s="7" t="s">
        <v>65</v>
      </c>
      <c r="J75" s="7" t="s">
        <v>70</v>
      </c>
      <c r="K75" s="15">
        <v>43535.0</v>
      </c>
      <c r="L75" s="15">
        <v>33547.0</v>
      </c>
      <c r="M75" s="13">
        <v>23265.0</v>
      </c>
      <c r="N75" s="7">
        <v>8638.35</v>
      </c>
      <c r="O75" s="7"/>
      <c r="P75" s="7">
        <v>13.33</v>
      </c>
      <c r="Q75" s="7">
        <v>8638.35</v>
      </c>
      <c r="R75" s="20">
        <v>0.0</v>
      </c>
      <c r="S75" s="7"/>
      <c r="T75" s="20"/>
      <c r="U75" s="16">
        <f>SUM(Template!$N75:$O75)*Template!$P75+Template!$Q75</f>
        <v>123787.5555</v>
      </c>
      <c r="V75" s="17" t="str">
        <f>IF(Template!$M75="CONSELHO","N",IF(Template!$AA75="N","N1",IF(Template!$AA75="N1","N2",IF(Template!$AA75="N2","N3",IF(Template!$AA75="N3","N4",IF(Template!$AA75="N4","N5",IF(Template!$AA75="N5","N6",IF(Template!$AA75="N6","N7",IF(Template!$AA75="N7","N8",IF(Template!$AA75="N8","N9",IF(Template!$AA75="N9","N10","NA")))))))))))</f>
        <v>N2</v>
      </c>
      <c r="W75" s="17">
        <f>COUNTIF(Template!$M$3:$M$619,Template!$D75)</f>
        <v>0</v>
      </c>
      <c r="X75" s="17">
        <f>IF(Template!$F75="","",SUMIF(Template!$M$3:$M$619,Template!$D75,Template!$AC$3:$AC$619))</f>
        <v>0</v>
      </c>
      <c r="Y75" s="17" t="str">
        <f>IFERROR(VLOOKUP(Template!$M75,Template!$D$3:$G$619,MATCH("EmployeeJobTitle",Template!$D$2:$G$2,0),FALSE),"NA")</f>
        <v>DIRETORA DE PRODUTO E ESTILO</v>
      </c>
      <c r="Z75" s="17" t="str">
        <f>IFERROR(VLOOKUP(Template!$M75,Template!$D$3:$G$619,MATCH("EmployeeGroup",Template!$D$2:$G$2,0),FALSE),"NA")</f>
        <v>Diretor</v>
      </c>
      <c r="AA75" s="17" t="str">
        <f>IFERROR(VLOOKUP(Template!$M75,Template!$D$3:$V$619,MATCH("Layer",Template!$D$2:$V$2,0),FALSE),"NA")</f>
        <v>N1</v>
      </c>
      <c r="AB75" s="21">
        <f>VLOOKUP(Template!$M75,Template!$D$3:$F$619,MATCH("InternalGrade",Template!$D$2:$F$2,0),FALSE)-Template!$F75</f>
        <v>5</v>
      </c>
      <c r="AC75" s="17">
        <f>IF(Template!$AB75&lt;=1, 0.8,IF(Template!$AB75=2,0.4,IF(Template!$AB75=3,0.2,IF(Template!$AB75=4,0.1,IF(Template!$AB75&gt;=5,0.05,"erro")))))</f>
        <v>0.05</v>
      </c>
      <c r="AD75" s="17" t="b">
        <f>Template!$D75=Template!$M75</f>
        <v>0</v>
      </c>
      <c r="AE75" s="12" t="s">
        <v>58</v>
      </c>
    </row>
    <row r="76" ht="15.75" customHeight="1">
      <c r="A76" s="7" t="s">
        <v>59</v>
      </c>
      <c r="B76" s="7" t="s">
        <v>60</v>
      </c>
      <c r="C76" s="7" t="s">
        <v>99</v>
      </c>
      <c r="D76" s="13">
        <v>11842.0</v>
      </c>
      <c r="E76" s="7" t="s">
        <v>131</v>
      </c>
      <c r="F76" s="13">
        <v>16.0</v>
      </c>
      <c r="G76" s="14" t="s">
        <v>63</v>
      </c>
      <c r="H76" s="7" t="s">
        <v>64</v>
      </c>
      <c r="I76" s="7" t="s">
        <v>65</v>
      </c>
      <c r="J76" s="7" t="s">
        <v>66</v>
      </c>
      <c r="K76" s="15">
        <v>41092.0</v>
      </c>
      <c r="L76" s="15">
        <v>28652.0</v>
      </c>
      <c r="M76" s="13">
        <v>11398.0</v>
      </c>
      <c r="N76" s="7">
        <v>5801.0</v>
      </c>
      <c r="O76" s="7"/>
      <c r="P76" s="7">
        <v>13.33</v>
      </c>
      <c r="Q76" s="7">
        <v>5801.0</v>
      </c>
      <c r="R76" s="20">
        <v>0.0</v>
      </c>
      <c r="S76" s="7"/>
      <c r="T76" s="20"/>
      <c r="U76" s="16">
        <f>SUM(Template!$N76:$O76)*Template!$P76+Template!$Q76</f>
        <v>83128.33</v>
      </c>
      <c r="V76" s="17" t="str">
        <f>IF(Template!$M76="CONSELHO","N",IF(Template!$AA76="N","N1",IF(Template!$AA76="N1","N2",IF(Template!$AA76="N2","N3",IF(Template!$AA76="N3","N4",IF(Template!$AA76="N4","N5",IF(Template!$AA76="N5","N6",IF(Template!$AA76="N6","N7",IF(Template!$AA76="N7","N8",IF(Template!$AA76="N8","N9",IF(Template!$AA76="N9","N10","NA")))))))))))</f>
        <v>N4</v>
      </c>
      <c r="W76" s="17">
        <f>COUNTIF(Template!$M$3:$M$619,Template!$D76)</f>
        <v>0</v>
      </c>
      <c r="X76" s="17">
        <f>IF(Template!$F76="","",SUMIF(Template!$M$3:$M$619,Template!$D76,Template!$AC$3:$AC$619))</f>
        <v>0</v>
      </c>
      <c r="Y76" s="17" t="str">
        <f>IFERROR(VLOOKUP(Template!$M76,Template!$D$3:$G$619,MATCH("EmployeeJobTitle",Template!$D$2:$G$2,0),FALSE),"NA")</f>
        <v>COORDENADOR FISCAL</v>
      </c>
      <c r="Z76" s="17" t="str">
        <f>IFERROR(VLOOKUP(Template!$M76,Template!$D$3:$G$619,MATCH("EmployeeGroup",Template!$D$2:$G$2,0),FALSE),"NA")</f>
        <v>Coordenador</v>
      </c>
      <c r="AA76" s="17" t="str">
        <f>IFERROR(VLOOKUP(Template!$M76,Template!$D$3:$V$619,MATCH("Layer",Template!$D$2:$V$2,0),FALSE),"NA")</f>
        <v>N3</v>
      </c>
      <c r="AB76" s="21">
        <f>VLOOKUP(Template!$M76,Template!$D$3:$F$619,MATCH("InternalGrade",Template!$D$2:$F$2,0),FALSE)-Template!$F76</f>
        <v>2</v>
      </c>
      <c r="AC76" s="17">
        <f>IF(Template!$AB76&lt;=1, 0.8,IF(Template!$AB76=2,0.4,IF(Template!$AB76=3,0.2,IF(Template!$AB76=4,0.1,IF(Template!$AB76&gt;=5,0.05,"erro")))))</f>
        <v>0.4</v>
      </c>
      <c r="AD76" s="17" t="b">
        <f>Template!$D76=Template!$M76</f>
        <v>0</v>
      </c>
      <c r="AE76" s="12" t="s">
        <v>58</v>
      </c>
    </row>
    <row r="77" ht="15.75" customHeight="1">
      <c r="A77" s="7" t="s">
        <v>59</v>
      </c>
      <c r="B77" s="7" t="s">
        <v>60</v>
      </c>
      <c r="C77" s="7" t="s">
        <v>134</v>
      </c>
      <c r="D77" s="13">
        <v>25149.0</v>
      </c>
      <c r="E77" s="7" t="s">
        <v>151</v>
      </c>
      <c r="F77" s="13">
        <v>15.0</v>
      </c>
      <c r="G77" s="14" t="s">
        <v>63</v>
      </c>
      <c r="H77" s="7" t="s">
        <v>64</v>
      </c>
      <c r="I77" s="7" t="s">
        <v>65</v>
      </c>
      <c r="J77" s="7" t="s">
        <v>70</v>
      </c>
      <c r="K77" s="15">
        <v>45469.0</v>
      </c>
      <c r="L77" s="15">
        <v>32740.0</v>
      </c>
      <c r="M77" s="13">
        <v>24245.0</v>
      </c>
      <c r="N77" s="7">
        <v>5100.0</v>
      </c>
      <c r="O77" s="7"/>
      <c r="P77" s="7">
        <v>13.33</v>
      </c>
      <c r="Q77" s="7">
        <v>5100.0</v>
      </c>
      <c r="R77" s="20">
        <v>0.0</v>
      </c>
      <c r="S77" s="7"/>
      <c r="T77" s="20"/>
      <c r="U77" s="16">
        <f>SUM(Template!$N77:$O77)*Template!$P77+Template!$Q77</f>
        <v>73083</v>
      </c>
      <c r="V77" s="17" t="str">
        <f>IF(Template!$M77="CONSELHO","N",IF(Template!$AA77="N","N1",IF(Template!$AA77="N1","N2",IF(Template!$AA77="N2","N3",IF(Template!$AA77="N3","N4",IF(Template!$AA77="N4","N5",IF(Template!$AA77="N5","N6",IF(Template!$AA77="N6","N7",IF(Template!$AA77="N7","N8",IF(Template!$AA77="N8","N9",IF(Template!$AA77="N9","N10","NA")))))))))))</f>
        <v>N3</v>
      </c>
      <c r="W77" s="17">
        <f>COUNTIF(Template!$M$3:$M$619,Template!$D77)</f>
        <v>0</v>
      </c>
      <c r="X77" s="17">
        <f>IF(Template!$F77="","",SUMIF(Template!$M$3:$M$619,Template!$D77,Template!$AC$3:$AC$619))</f>
        <v>0</v>
      </c>
      <c r="Y77" s="17" t="str">
        <f>IFERROR(VLOOKUP(Template!$M77,Template!$D$3:$G$619,MATCH("EmployeeJobTitle",Template!$D$2:$G$2,0),FALSE),"NA")</f>
        <v>GERENTE DE PLAN. FINANCEIRO</v>
      </c>
      <c r="Z77" s="17" t="str">
        <f>IFERROR(VLOOKUP(Template!$M77,Template!$D$3:$G$619,MATCH("EmployeeGroup",Template!$D$2:$G$2,0),FALSE),"NA")</f>
        <v>Gerente</v>
      </c>
      <c r="AA77" s="17" t="str">
        <f>IFERROR(VLOOKUP(Template!$M77,Template!$D$3:$V$619,MATCH("Layer",Template!$D$2:$V$2,0),FALSE),"NA")</f>
        <v>N2</v>
      </c>
      <c r="AB77" s="21">
        <f>VLOOKUP(Template!$M77,Template!$D$3:$F$619,MATCH("InternalGrade",Template!$D$2:$F$2,0),FALSE)-Template!$F77</f>
        <v>4</v>
      </c>
      <c r="AC77" s="17">
        <f>IF(Template!$AB77&lt;=1, 0.8,IF(Template!$AB77=2,0.4,IF(Template!$AB77=3,0.2,IF(Template!$AB77=4,0.1,IF(Template!$AB77&gt;=5,0.05,"erro")))))</f>
        <v>0.1</v>
      </c>
      <c r="AD77" s="17" t="b">
        <f>Template!$D77=Template!$M77</f>
        <v>0</v>
      </c>
      <c r="AE77" s="12" t="s">
        <v>58</v>
      </c>
    </row>
    <row r="78" ht="15.75" customHeight="1">
      <c r="A78" s="7" t="s">
        <v>59</v>
      </c>
      <c r="B78" s="7" t="s">
        <v>75</v>
      </c>
      <c r="C78" s="7" t="s">
        <v>89</v>
      </c>
      <c r="D78" s="13">
        <v>24171.0</v>
      </c>
      <c r="E78" s="7" t="s">
        <v>152</v>
      </c>
      <c r="F78" s="13">
        <v>14.0</v>
      </c>
      <c r="G78" s="14" t="s">
        <v>63</v>
      </c>
      <c r="H78" s="7" t="s">
        <v>64</v>
      </c>
      <c r="I78" s="7" t="s">
        <v>65</v>
      </c>
      <c r="J78" s="7" t="s">
        <v>70</v>
      </c>
      <c r="K78" s="15">
        <v>45139.0</v>
      </c>
      <c r="L78" s="15">
        <v>29656.0</v>
      </c>
      <c r="M78" s="13">
        <v>23266.0</v>
      </c>
      <c r="N78" s="7">
        <v>3738.0</v>
      </c>
      <c r="O78" s="7"/>
      <c r="P78" s="7">
        <v>13.33</v>
      </c>
      <c r="Q78" s="7">
        <v>3738.0</v>
      </c>
      <c r="R78" s="20">
        <v>0.0</v>
      </c>
      <c r="S78" s="7"/>
      <c r="T78" s="20"/>
      <c r="U78" s="16">
        <f>SUM(Template!$N78:$O78)*Template!$P78+Template!$Q78</f>
        <v>53565.54</v>
      </c>
      <c r="V78" s="17" t="str">
        <f>IF(Template!$M78="CONSELHO","N",IF(Template!$AA78="N","N1",IF(Template!$AA78="N1","N2",IF(Template!$AA78="N2","N3",IF(Template!$AA78="N3","N4",IF(Template!$AA78="N4","N5",IF(Template!$AA78="N5","N6",IF(Template!$AA78="N6","N7",IF(Template!$AA78="N7","N8",IF(Template!$AA78="N8","N9",IF(Template!$AA78="N9","N10","NA")))))))))))</f>
        <v>N3</v>
      </c>
      <c r="W78" s="17">
        <f>COUNTIF(Template!$M$3:$M$619,Template!$D78)</f>
        <v>0</v>
      </c>
      <c r="X78" s="17">
        <f>IF(Template!$F78="","",SUMIF(Template!$M$3:$M$619,Template!$D78,Template!$AC$3:$AC$619))</f>
        <v>0</v>
      </c>
      <c r="Y78" s="17" t="str">
        <f>IFERROR(VLOOKUP(Template!$M78,Template!$D$3:$G$619,MATCH("EmployeeJobTitle",Template!$D$2:$G$2,0),FALSE),"NA")</f>
        <v>GERENTE DE VM</v>
      </c>
      <c r="Z78" s="17" t="str">
        <f>IFERROR(VLOOKUP(Template!$M78,Template!$D$3:$G$619,MATCH("EmployeeGroup",Template!$D$2:$G$2,0),FALSE),"NA")</f>
        <v>Gerente</v>
      </c>
      <c r="AA78" s="17" t="str">
        <f>IFERROR(VLOOKUP(Template!$M78,Template!$D$3:$V$619,MATCH("Layer",Template!$D$2:$V$2,0),FALSE),"NA")</f>
        <v>N2</v>
      </c>
      <c r="AB78" s="21">
        <f>VLOOKUP(Template!$M78,Template!$D$3:$F$619,MATCH("InternalGrade",Template!$D$2:$F$2,0),FALSE)-Template!$F78</f>
        <v>5</v>
      </c>
      <c r="AC78" s="17">
        <f>IF(Template!$AB78&lt;=1, 0.8,IF(Template!$AB78=2,0.4,IF(Template!$AB78=3,0.2,IF(Template!$AB78=4,0.1,IF(Template!$AB78&gt;=5,0.05,"erro")))))</f>
        <v>0.05</v>
      </c>
      <c r="AD78" s="17" t="b">
        <f>Template!$D78=Template!$M78</f>
        <v>0</v>
      </c>
      <c r="AE78" s="12" t="s">
        <v>58</v>
      </c>
    </row>
    <row r="79" ht="15.75" customHeight="1">
      <c r="A79" s="7" t="s">
        <v>59</v>
      </c>
      <c r="B79" s="7" t="s">
        <v>71</v>
      </c>
      <c r="C79" s="7" t="s">
        <v>72</v>
      </c>
      <c r="D79" s="13">
        <v>23944.0</v>
      </c>
      <c r="E79" s="7" t="s">
        <v>133</v>
      </c>
      <c r="F79" s="13">
        <v>14.0</v>
      </c>
      <c r="G79" s="14" t="s">
        <v>63</v>
      </c>
      <c r="H79" s="7" t="s">
        <v>64</v>
      </c>
      <c r="I79" s="7" t="s">
        <v>65</v>
      </c>
      <c r="J79" s="7" t="s">
        <v>70</v>
      </c>
      <c r="K79" s="15">
        <v>45026.0</v>
      </c>
      <c r="L79" s="15">
        <v>34675.0</v>
      </c>
      <c r="M79" s="13">
        <v>18792.0</v>
      </c>
      <c r="N79" s="7">
        <v>3240.0</v>
      </c>
      <c r="O79" s="7"/>
      <c r="P79" s="7">
        <v>13.33</v>
      </c>
      <c r="Q79" s="7">
        <v>3240.0</v>
      </c>
      <c r="R79" s="20">
        <v>0.0</v>
      </c>
      <c r="S79" s="7"/>
      <c r="T79" s="20"/>
      <c r="U79" s="16">
        <f>SUM(Template!$N79:$O79)*Template!$P79+Template!$Q79</f>
        <v>46429.2</v>
      </c>
      <c r="V79" s="17" t="str">
        <f>IF(Template!$M79="CONSELHO","N",IF(Template!$AA79="N","N1",IF(Template!$AA79="N1","N2",IF(Template!$AA79="N2","N3",IF(Template!$AA79="N3","N4",IF(Template!$AA79="N4","N5",IF(Template!$AA79="N5","N6",IF(Template!$AA79="N6","N7",IF(Template!$AA79="N7","N8",IF(Template!$AA79="N8","N9",IF(Template!$AA79="N9","N10","NA")))))))))))</f>
        <v>N4</v>
      </c>
      <c r="W79" s="17">
        <f>COUNTIF(Template!$M$3:$M$619,Template!$D79)</f>
        <v>0</v>
      </c>
      <c r="X79" s="17">
        <f>IF(Template!$F79="","",SUMIF(Template!$M$3:$M$619,Template!$D79,Template!$AC$3:$AC$619))</f>
        <v>0</v>
      </c>
      <c r="Y79" s="17" t="str">
        <f>IFERROR(VLOOKUP(Template!$M79,Template!$D$3:$G$619,MATCH("EmployeeJobTitle",Template!$D$2:$G$2,0),FALSE),"NA")</f>
        <v>COORDENADOR DE PLANEJAMENTO</v>
      </c>
      <c r="Z79" s="17" t="str">
        <f>IFERROR(VLOOKUP(Template!$M79,Template!$D$3:$G$619,MATCH("EmployeeGroup",Template!$D$2:$G$2,0),FALSE),"NA")</f>
        <v>Coordenador</v>
      </c>
      <c r="AA79" s="17" t="str">
        <f>IFERROR(VLOOKUP(Template!$M79,Template!$D$3:$V$619,MATCH("Layer",Template!$D$2:$V$2,0),FALSE),"NA")</f>
        <v>N3</v>
      </c>
      <c r="AB79" s="21">
        <f>VLOOKUP(Template!$M79,Template!$D$3:$F$619,MATCH("InternalGrade",Template!$D$2:$F$2,0),FALSE)-Template!$F79</f>
        <v>3</v>
      </c>
      <c r="AC79" s="17">
        <f>IF(Template!$AB79&lt;=1, 0.8,IF(Template!$AB79=2,0.4,IF(Template!$AB79=3,0.2,IF(Template!$AB79=4,0.1,IF(Template!$AB79&gt;=5,0.05,"erro")))))</f>
        <v>0.2</v>
      </c>
      <c r="AD79" s="17" t="b">
        <f>Template!$D79=Template!$M79</f>
        <v>0</v>
      </c>
      <c r="AE79" s="12" t="s">
        <v>58</v>
      </c>
    </row>
    <row r="80" ht="15.75" customHeight="1">
      <c r="A80" s="7" t="s">
        <v>59</v>
      </c>
      <c r="B80" s="7" t="s">
        <v>75</v>
      </c>
      <c r="C80" s="7" t="s">
        <v>76</v>
      </c>
      <c r="D80" s="13">
        <v>25421.0</v>
      </c>
      <c r="E80" s="7" t="s">
        <v>153</v>
      </c>
      <c r="F80" s="13">
        <v>15.0</v>
      </c>
      <c r="G80" s="14" t="s">
        <v>63</v>
      </c>
      <c r="H80" s="7" t="s">
        <v>64</v>
      </c>
      <c r="I80" s="7" t="s">
        <v>65</v>
      </c>
      <c r="J80" s="7" t="s">
        <v>70</v>
      </c>
      <c r="K80" s="15">
        <v>45566.0</v>
      </c>
      <c r="L80" s="15">
        <v>36691.0</v>
      </c>
      <c r="M80" s="13">
        <v>24771.0</v>
      </c>
      <c r="N80" s="7">
        <v>4749.0</v>
      </c>
      <c r="O80" s="7"/>
      <c r="P80" s="7">
        <v>13.33</v>
      </c>
      <c r="Q80" s="7">
        <v>4749.0</v>
      </c>
      <c r="R80" s="20">
        <v>0.0</v>
      </c>
      <c r="S80" s="7"/>
      <c r="T80" s="20"/>
      <c r="U80" s="16">
        <f>SUM(Template!$N80:$O80)*Template!$P80+Template!$Q80</f>
        <v>68053.17</v>
      </c>
      <c r="V80" s="17" t="str">
        <f>IF(Template!$M80="CONSELHO","N",IF(Template!$AA80="N","N1",IF(Template!$AA80="N1","N2",IF(Template!$AA80="N2","N3",IF(Template!$AA80="N3","N4",IF(Template!$AA80="N4","N5",IF(Template!$AA80="N5","N6",IF(Template!$AA80="N6","N7",IF(Template!$AA80="N7","N8",IF(Template!$AA80="N8","N9",IF(Template!$AA80="N9","N10","NA")))))))))))</f>
        <v>N4</v>
      </c>
      <c r="W80" s="17">
        <f>COUNTIF(Template!$M$3:$M$619,Template!$D80)</f>
        <v>0</v>
      </c>
      <c r="X80" s="17">
        <f>IF(Template!$F80="","",SUMIF(Template!$M$3:$M$619,Template!$D80,Template!$AC$3:$AC$619))</f>
        <v>0</v>
      </c>
      <c r="Y80" s="17" t="str">
        <f>IFERROR(VLOOKUP(Template!$M80,Template!$D$3:$G$619,MATCH("EmployeeJobTitle",Template!$D$2:$G$2,0),FALSE),"NA")</f>
        <v>COORDENADOR DE MARKETING</v>
      </c>
      <c r="Z80" s="17" t="str">
        <f>IFERROR(VLOOKUP(Template!$M80,Template!$D$3:$G$619,MATCH("EmployeeGroup",Template!$D$2:$G$2,0),FALSE),"NA")</f>
        <v>Coordenador</v>
      </c>
      <c r="AA80" s="17" t="str">
        <f>IFERROR(VLOOKUP(Template!$M80,Template!$D$3:$V$619,MATCH("Layer",Template!$D$2:$V$2,0),FALSE),"NA")</f>
        <v>N3</v>
      </c>
      <c r="AB80" s="21">
        <f>VLOOKUP(Template!$M80,Template!$D$3:$F$619,MATCH("InternalGrade",Template!$D$2:$F$2,0),FALSE)-Template!$F80</f>
        <v>3</v>
      </c>
      <c r="AC80" s="17">
        <f>IF(Template!$AB80&lt;=1, 0.8,IF(Template!$AB80=2,0.4,IF(Template!$AB80=3,0.2,IF(Template!$AB80=4,0.1,IF(Template!$AB80&gt;=5,0.05,"erro")))))</f>
        <v>0.2</v>
      </c>
      <c r="AD80" s="17" t="b">
        <f>Template!$D80=Template!$M80</f>
        <v>0</v>
      </c>
      <c r="AE80" s="12" t="s">
        <v>58</v>
      </c>
    </row>
    <row r="81" ht="15.75" customHeight="1">
      <c r="A81" s="7" t="s">
        <v>59</v>
      </c>
      <c r="B81" s="7" t="s">
        <v>80</v>
      </c>
      <c r="C81" s="7" t="s">
        <v>154</v>
      </c>
      <c r="D81" s="13">
        <v>18766.0</v>
      </c>
      <c r="E81" s="7" t="s">
        <v>155</v>
      </c>
      <c r="F81" s="13">
        <v>19.0</v>
      </c>
      <c r="G81" s="22" t="s">
        <v>87</v>
      </c>
      <c r="H81" s="7" t="s">
        <v>64</v>
      </c>
      <c r="I81" s="7" t="s">
        <v>65</v>
      </c>
      <c r="J81" s="7" t="s">
        <v>70</v>
      </c>
      <c r="K81" s="15">
        <v>44105.0</v>
      </c>
      <c r="L81" s="15">
        <v>30090.0</v>
      </c>
      <c r="M81" s="13">
        <v>24307.0</v>
      </c>
      <c r="N81" s="7">
        <v>10217.55</v>
      </c>
      <c r="O81" s="7"/>
      <c r="P81" s="7">
        <v>13.33</v>
      </c>
      <c r="Q81" s="7">
        <v>15326.324999999999</v>
      </c>
      <c r="R81" s="20">
        <v>0.0</v>
      </c>
      <c r="S81" s="7"/>
      <c r="T81" s="20"/>
      <c r="U81" s="16">
        <f>SUM(Template!$N81:$O81)*Template!$P81+Template!$Q81</f>
        <v>151526.2665</v>
      </c>
      <c r="V81" s="17" t="str">
        <f>IF(Template!$M81="CONSELHO","N",IF(Template!$AA81="N","N1",IF(Template!$AA81="N1","N2",IF(Template!$AA81="N2","N3",IF(Template!$AA81="N3","N4",IF(Template!$AA81="N4","N5",IF(Template!$AA81="N5","N6",IF(Template!$AA81="N6","N7",IF(Template!$AA81="N7","N8",IF(Template!$AA81="N8","N9",IF(Template!$AA81="N9","N10","NA")))))))))))</f>
        <v>N2</v>
      </c>
      <c r="W81" s="17">
        <f>COUNTIF(Template!$M$3:$M$619,Template!$D81)</f>
        <v>15</v>
      </c>
      <c r="X81" s="17">
        <f>IF(Template!$F81="","",SUMIF(Template!$M$3:$M$619,Template!$D81,Template!$AC$3:$AC$619))</f>
        <v>0.75</v>
      </c>
      <c r="Y81" s="17" t="str">
        <f>IFERROR(VLOOKUP(Template!$M81,Template!$D$3:$G$619,MATCH("EmployeeJobTitle",Template!$D$2:$G$2,0),FALSE),"NA")</f>
        <v>DIRETOR COMERCIAL</v>
      </c>
      <c r="Z81" s="17" t="str">
        <f>IFERROR(VLOOKUP(Template!$M81,Template!$D$3:$G$619,MATCH("EmployeeGroup",Template!$D$2:$G$2,0),FALSE),"NA")</f>
        <v>Diretor</v>
      </c>
      <c r="AA81" s="17" t="str">
        <f>IFERROR(VLOOKUP(Template!$M81,Template!$D$3:$V$619,MATCH("Layer",Template!$D$2:$V$2,0),FALSE),"NA")</f>
        <v>N1</v>
      </c>
      <c r="AB81" s="21">
        <f>VLOOKUP(Template!$M81,Template!$D$3:$F$619,MATCH("InternalGrade",Template!$D$2:$F$2,0),FALSE)-Template!$F81</f>
        <v>3</v>
      </c>
      <c r="AC81" s="17">
        <f>IF(Template!$AB81&lt;=1, 0.8,IF(Template!$AB81=2,0.4,IF(Template!$AB81=3,0.2,IF(Template!$AB81=4,0.1,IF(Template!$AB81&gt;=5,0.05,"erro")))))</f>
        <v>0.2</v>
      </c>
      <c r="AD81" s="17" t="b">
        <f>Template!$D81=Template!$M81</f>
        <v>0</v>
      </c>
      <c r="AE81" s="12" t="s">
        <v>58</v>
      </c>
    </row>
    <row r="82" ht="15.75" customHeight="1">
      <c r="A82" s="7" t="s">
        <v>59</v>
      </c>
      <c r="B82" s="7" t="s">
        <v>60</v>
      </c>
      <c r="C82" s="7" t="s">
        <v>61</v>
      </c>
      <c r="D82" s="13">
        <v>25378.0</v>
      </c>
      <c r="E82" s="7" t="s">
        <v>108</v>
      </c>
      <c r="F82" s="13">
        <v>12.0</v>
      </c>
      <c r="G82" s="14" t="s">
        <v>63</v>
      </c>
      <c r="H82" s="7" t="s">
        <v>64</v>
      </c>
      <c r="I82" s="7" t="s">
        <v>65</v>
      </c>
      <c r="J82" s="7" t="s">
        <v>70</v>
      </c>
      <c r="K82" s="15">
        <v>45551.0</v>
      </c>
      <c r="L82" s="15">
        <v>37648.0</v>
      </c>
      <c r="M82" s="13">
        <v>23251.0</v>
      </c>
      <c r="N82" s="7">
        <v>1953.0</v>
      </c>
      <c r="O82" s="7"/>
      <c r="P82" s="7">
        <v>13.33</v>
      </c>
      <c r="Q82" s="7">
        <v>1953.0</v>
      </c>
      <c r="R82" s="20">
        <v>0.0</v>
      </c>
      <c r="S82" s="7"/>
      <c r="T82" s="20"/>
      <c r="U82" s="16">
        <f>SUM(Template!$N82:$O82)*Template!$P82+Template!$Q82</f>
        <v>27986.49</v>
      </c>
      <c r="V82" s="17" t="str">
        <f>IF(Template!$M82="CONSELHO","N",IF(Template!$AA82="N","N1",IF(Template!$AA82="N1","N2",IF(Template!$AA82="N2","N3",IF(Template!$AA82="N3","N4",IF(Template!$AA82="N4","N5",IF(Template!$AA82="N5","N6",IF(Template!$AA82="N6","N7",IF(Template!$AA82="N7","N8",IF(Template!$AA82="N8","N9",IF(Template!$AA82="N9","N10","NA")))))))))))</f>
        <v>N3</v>
      </c>
      <c r="W82" s="17">
        <f>COUNTIF(Template!$M$3:$M$619,Template!$D82)</f>
        <v>0</v>
      </c>
      <c r="X82" s="17">
        <f>IF(Template!$F82="","",SUMIF(Template!$M$3:$M$619,Template!$D82,Template!$AC$3:$AC$619))</f>
        <v>0</v>
      </c>
      <c r="Y82" s="17" t="str">
        <f>IFERROR(VLOOKUP(Template!$M82,Template!$D$3:$G$619,MATCH("EmployeeJobTitle",Template!$D$2:$G$2,0),FALSE),"NA")</f>
        <v>GERENTE DE CONTROLADORIA</v>
      </c>
      <c r="Z82" s="17" t="str">
        <f>IFERROR(VLOOKUP(Template!$M82,Template!$D$3:$G$619,MATCH("EmployeeGroup",Template!$D$2:$G$2,0),FALSE),"NA")</f>
        <v>Gerente</v>
      </c>
      <c r="AA82" s="17" t="str">
        <f>IFERROR(VLOOKUP(Template!$M82,Template!$D$3:$V$619,MATCH("Layer",Template!$D$2:$V$2,0),FALSE),"NA")</f>
        <v>N2</v>
      </c>
      <c r="AB82" s="21">
        <f>VLOOKUP(Template!$M82,Template!$D$3:$F$619,MATCH("InternalGrade",Template!$D$2:$F$2,0),FALSE)-Template!$F82</f>
        <v>7</v>
      </c>
      <c r="AC82" s="17">
        <f>IF(Template!$AB82&lt;=1, 0.8,IF(Template!$AB82=2,0.4,IF(Template!$AB82=3,0.2,IF(Template!$AB82=4,0.1,IF(Template!$AB82&gt;=5,0.05,"erro")))))</f>
        <v>0.05</v>
      </c>
      <c r="AD82" s="17" t="b">
        <f>Template!$D82=Template!$M82</f>
        <v>0</v>
      </c>
      <c r="AE82" s="12" t="s">
        <v>58</v>
      </c>
    </row>
    <row r="83" ht="15.75" customHeight="1">
      <c r="A83" s="7" t="s">
        <v>59</v>
      </c>
      <c r="B83" s="7" t="s">
        <v>60</v>
      </c>
      <c r="C83" s="7" t="s">
        <v>61</v>
      </c>
      <c r="D83" s="13">
        <v>23978.0</v>
      </c>
      <c r="E83" s="7" t="s">
        <v>79</v>
      </c>
      <c r="F83" s="13">
        <v>14.0</v>
      </c>
      <c r="G83" s="14" t="s">
        <v>63</v>
      </c>
      <c r="H83" s="7" t="s">
        <v>64</v>
      </c>
      <c r="I83" s="7" t="s">
        <v>65</v>
      </c>
      <c r="J83" s="7" t="s">
        <v>70</v>
      </c>
      <c r="K83" s="15">
        <v>45040.0</v>
      </c>
      <c r="L83" s="15">
        <v>35198.0</v>
      </c>
      <c r="M83" s="13">
        <v>23251.0</v>
      </c>
      <c r="N83" s="7">
        <v>3544.0</v>
      </c>
      <c r="O83" s="7"/>
      <c r="P83" s="7">
        <v>13.33</v>
      </c>
      <c r="Q83" s="7">
        <v>3544.0</v>
      </c>
      <c r="R83" s="20">
        <v>0.0</v>
      </c>
      <c r="S83" s="7"/>
      <c r="T83" s="20"/>
      <c r="U83" s="16">
        <f>SUM(Template!$N83:$O83)*Template!$P83+Template!$Q83</f>
        <v>50785.52</v>
      </c>
      <c r="V83" s="17" t="str">
        <f>IF(Template!$M83="CONSELHO","N",IF(Template!$AA83="N","N1",IF(Template!$AA83="N1","N2",IF(Template!$AA83="N2","N3",IF(Template!$AA83="N3","N4",IF(Template!$AA83="N4","N5",IF(Template!$AA83="N5","N6",IF(Template!$AA83="N6","N7",IF(Template!$AA83="N7","N8",IF(Template!$AA83="N8","N9",IF(Template!$AA83="N9","N10","NA")))))))))))</f>
        <v>N3</v>
      </c>
      <c r="W83" s="17">
        <f>COUNTIF(Template!$M$3:$M$619,Template!$D83)</f>
        <v>0</v>
      </c>
      <c r="X83" s="17">
        <f>IF(Template!$F83="","",SUMIF(Template!$M$3:$M$619,Template!$D83,Template!$AC$3:$AC$619))</f>
        <v>0</v>
      </c>
      <c r="Y83" s="17" t="str">
        <f>IFERROR(VLOOKUP(Template!$M83,Template!$D$3:$G$619,MATCH("EmployeeJobTitle",Template!$D$2:$G$2,0),FALSE),"NA")</f>
        <v>GERENTE DE CONTROLADORIA</v>
      </c>
      <c r="Z83" s="17" t="str">
        <f>IFERROR(VLOOKUP(Template!$M83,Template!$D$3:$G$619,MATCH("EmployeeGroup",Template!$D$2:$G$2,0),FALSE),"NA")</f>
        <v>Gerente</v>
      </c>
      <c r="AA83" s="17" t="str">
        <f>IFERROR(VLOOKUP(Template!$M83,Template!$D$3:$V$619,MATCH("Layer",Template!$D$2:$V$2,0),FALSE),"NA")</f>
        <v>N2</v>
      </c>
      <c r="AB83" s="21">
        <f>VLOOKUP(Template!$M83,Template!$D$3:$F$619,MATCH("InternalGrade",Template!$D$2:$F$2,0),FALSE)-Template!$F83</f>
        <v>5</v>
      </c>
      <c r="AC83" s="17">
        <f>IF(Template!$AB83&lt;=1, 0.8,IF(Template!$AB83=2,0.4,IF(Template!$AB83=3,0.2,IF(Template!$AB83=4,0.1,IF(Template!$AB83&gt;=5,0.05,"erro")))))</f>
        <v>0.05</v>
      </c>
      <c r="AD83" s="17" t="b">
        <f>Template!$D83=Template!$M83</f>
        <v>0</v>
      </c>
      <c r="AE83" s="12" t="s">
        <v>58</v>
      </c>
    </row>
    <row r="84" ht="15.75" customHeight="1">
      <c r="A84" s="7" t="s">
        <v>59</v>
      </c>
      <c r="B84" s="7" t="s">
        <v>80</v>
      </c>
      <c r="C84" s="7" t="s">
        <v>156</v>
      </c>
      <c r="D84" s="13">
        <v>20378.0</v>
      </c>
      <c r="E84" s="7" t="s">
        <v>157</v>
      </c>
      <c r="F84" s="13">
        <v>14.0</v>
      </c>
      <c r="G84" s="14" t="s">
        <v>63</v>
      </c>
      <c r="H84" s="7" t="s">
        <v>64</v>
      </c>
      <c r="I84" s="7" t="s">
        <v>65</v>
      </c>
      <c r="J84" s="7" t="s">
        <v>70</v>
      </c>
      <c r="K84" s="15">
        <v>44601.0</v>
      </c>
      <c r="L84" s="15">
        <v>34894.0</v>
      </c>
      <c r="M84" s="13">
        <v>22164.0</v>
      </c>
      <c r="N84" s="7">
        <v>3531.0</v>
      </c>
      <c r="O84" s="7"/>
      <c r="P84" s="7">
        <v>13.33</v>
      </c>
      <c r="Q84" s="7">
        <v>3531.0</v>
      </c>
      <c r="R84" s="20">
        <v>0.0</v>
      </c>
      <c r="S84" s="7"/>
      <c r="T84" s="20"/>
      <c r="U84" s="16">
        <f>SUM(Template!$N84:$O84)*Template!$P84+Template!$Q84</f>
        <v>50599.23</v>
      </c>
      <c r="V84" s="17" t="str">
        <f>IF(Template!$M84="CONSELHO","N",IF(Template!$AA84="N","N1",IF(Template!$AA84="N1","N2",IF(Template!$AA84="N2","N3",IF(Template!$AA84="N3","N4",IF(Template!$AA84="N4","N5",IF(Template!$AA84="N5","N6",IF(Template!$AA84="N6","N7",IF(Template!$AA84="N7","N8",IF(Template!$AA84="N8","N9",IF(Template!$AA84="N9","N10","NA")))))))))))</f>
        <v>N3</v>
      </c>
      <c r="W84" s="17">
        <f>COUNTIF(Template!$M$3:$M$619,Template!$D84)</f>
        <v>0</v>
      </c>
      <c r="X84" s="17">
        <f>IF(Template!$F84="","",SUMIF(Template!$M$3:$M$619,Template!$D84,Template!$AC$3:$AC$619))</f>
        <v>0</v>
      </c>
      <c r="Y84" s="17" t="str">
        <f>IFERROR(VLOOKUP(Template!$M84,Template!$D$3:$G$619,MATCH("EmployeeJobTitle",Template!$D$2:$G$2,0),FALSE),"NA")</f>
        <v>COORDENADOR DE MARKETPLACE</v>
      </c>
      <c r="Z84" s="17" t="str">
        <f>IFERROR(VLOOKUP(Template!$M84,Template!$D$3:$G$619,MATCH("EmployeeGroup",Template!$D$2:$G$2,0),FALSE),"NA")</f>
        <v>Coordenador</v>
      </c>
      <c r="AA84" s="17" t="str">
        <f>IFERROR(VLOOKUP(Template!$M84,Template!$D$3:$V$619,MATCH("Layer",Template!$D$2:$V$2,0),FALSE),"NA")</f>
        <v>N2</v>
      </c>
      <c r="AB84" s="21">
        <f>VLOOKUP(Template!$M84,Template!$D$3:$F$619,MATCH("InternalGrade",Template!$D$2:$F$2,0),FALSE)-Template!$F84</f>
        <v>4</v>
      </c>
      <c r="AC84" s="17">
        <f>IF(Template!$AB84&lt;=1, 0.8,IF(Template!$AB84=2,0.4,IF(Template!$AB84=3,0.2,IF(Template!$AB84=4,0.1,IF(Template!$AB84&gt;=5,0.05,"erro")))))</f>
        <v>0.1</v>
      </c>
      <c r="AD84" s="17" t="b">
        <f>Template!$D84=Template!$M84</f>
        <v>0</v>
      </c>
      <c r="AE84" s="12" t="s">
        <v>58</v>
      </c>
    </row>
    <row r="85" ht="15.75" customHeight="1">
      <c r="A85" s="7" t="s">
        <v>59</v>
      </c>
      <c r="B85" s="7" t="s">
        <v>71</v>
      </c>
      <c r="C85" s="7" t="s">
        <v>84</v>
      </c>
      <c r="D85" s="13">
        <v>14545.0</v>
      </c>
      <c r="E85" s="7" t="s">
        <v>85</v>
      </c>
      <c r="F85" s="13"/>
      <c r="G85" s="14" t="s">
        <v>63</v>
      </c>
      <c r="H85" s="7" t="s">
        <v>64</v>
      </c>
      <c r="I85" s="7" t="s">
        <v>65</v>
      </c>
      <c r="J85" s="7" t="s">
        <v>70</v>
      </c>
      <c r="K85" s="15">
        <v>42298.0</v>
      </c>
      <c r="L85" s="15">
        <v>24320.0</v>
      </c>
      <c r="M85" s="13">
        <v>18566.0</v>
      </c>
      <c r="N85" s="7">
        <v>2021.0</v>
      </c>
      <c r="O85" s="7"/>
      <c r="P85" s="7">
        <v>13.33</v>
      </c>
      <c r="Q85" s="7">
        <v>2021.0</v>
      </c>
      <c r="R85" s="20">
        <v>0.0</v>
      </c>
      <c r="S85" s="7"/>
      <c r="T85" s="20"/>
      <c r="U85" s="16">
        <f>SUM(Template!$N85:$O85)*Template!$P85+Template!$Q85</f>
        <v>28960.93</v>
      </c>
      <c r="V85" s="17" t="str">
        <f>IF(Template!$M85="CONSELHO","N",IF(Template!$AA85="N","N1",IF(Template!$AA85="N1","N2",IF(Template!$AA85="N2","N3",IF(Template!$AA85="N3","N4",IF(Template!$AA85="N4","N5",IF(Template!$AA85="N5","N6",IF(Template!$AA85="N6","N7",IF(Template!$AA85="N7","N8",IF(Template!$AA85="N8","N9",IF(Template!$AA85="N9","N10","NA")))))))))))</f>
        <v>N3</v>
      </c>
      <c r="W85" s="17">
        <f>COUNTIF(Template!$M$3:$M$619,Template!$D85)</f>
        <v>0</v>
      </c>
      <c r="X85" s="17" t="str">
        <f>IF(Template!$F85="","",SUMIF(Template!$M$3:$M$619,Template!$D85,Template!$AC$3:$AC$619))</f>
        <v/>
      </c>
      <c r="Y85" s="17" t="str">
        <f>IFERROR(VLOOKUP(Template!$M85,Template!$D$3:$G$619,MATCH("EmployeeJobTitle",Template!$D$2:$G$2,0),FALSE),"NA")</f>
        <v>COORDENADOR DE COMPRAS</v>
      </c>
      <c r="Z85" s="17" t="str">
        <f>IFERROR(VLOOKUP(Template!$M85,Template!$D$3:$G$619,MATCH("EmployeeGroup",Template!$D$2:$G$2,0),FALSE),"NA")</f>
        <v>Coordenador</v>
      </c>
      <c r="AA85" s="17" t="str">
        <f>IFERROR(VLOOKUP(Template!$M85,Template!$D$3:$V$619,MATCH("Layer",Template!$D$2:$V$2,0),FALSE),"NA")</f>
        <v>N2</v>
      </c>
      <c r="AB85" s="21">
        <f>VLOOKUP(Template!$M85,Template!$D$3:$F$619,MATCH("InternalGrade",Template!$D$2:$F$2,0),FALSE)-Template!$F85</f>
        <v>18</v>
      </c>
      <c r="AC85" s="17">
        <f>IF(Template!$AB85&lt;=1, 0.8,IF(Template!$AB85=2,0.4,IF(Template!$AB85=3,0.2,IF(Template!$AB85=4,0.1,IF(Template!$AB85&gt;=5,0.05,"erro")))))</f>
        <v>0.05</v>
      </c>
      <c r="AD85" s="17" t="b">
        <f>Template!$D85=Template!$M85</f>
        <v>0</v>
      </c>
      <c r="AE85" s="12" t="s">
        <v>58</v>
      </c>
    </row>
    <row r="86" ht="15.75" customHeight="1">
      <c r="A86" s="7" t="s">
        <v>59</v>
      </c>
      <c r="B86" s="7" t="s">
        <v>91</v>
      </c>
      <c r="C86" s="7" t="s">
        <v>91</v>
      </c>
      <c r="D86" s="13">
        <v>25146.0</v>
      </c>
      <c r="E86" s="7" t="s">
        <v>158</v>
      </c>
      <c r="F86" s="13">
        <v>15.0</v>
      </c>
      <c r="G86" s="14" t="s">
        <v>63</v>
      </c>
      <c r="H86" s="7" t="s">
        <v>64</v>
      </c>
      <c r="I86" s="7" t="s">
        <v>65</v>
      </c>
      <c r="J86" s="7" t="s">
        <v>66</v>
      </c>
      <c r="K86" s="15">
        <v>45467.0</v>
      </c>
      <c r="L86" s="15">
        <v>33606.0</v>
      </c>
      <c r="M86" s="13">
        <v>25348.0</v>
      </c>
      <c r="N86" s="7">
        <v>4532.0</v>
      </c>
      <c r="O86" s="7"/>
      <c r="P86" s="7">
        <v>13.33</v>
      </c>
      <c r="Q86" s="7">
        <v>4532.0</v>
      </c>
      <c r="R86" s="20">
        <v>0.0</v>
      </c>
      <c r="S86" s="7"/>
      <c r="T86" s="20"/>
      <c r="U86" s="16">
        <f>SUM(Template!$N86:$O86)*Template!$P86+Template!$Q86</f>
        <v>64943.56</v>
      </c>
      <c r="V86" s="17" t="str">
        <f>IF(Template!$M86="CONSELHO","N",IF(Template!$AA86="N","N1",IF(Template!$AA86="N1","N2",IF(Template!$AA86="N2","N3",IF(Template!$AA86="N3","N4",IF(Template!$AA86="N4","N5",IF(Template!$AA86="N5","N6",IF(Template!$AA86="N6","N7",IF(Template!$AA86="N7","N8",IF(Template!$AA86="N8","N9",IF(Template!$AA86="N9","N10","NA")))))))))))</f>
        <v>N3</v>
      </c>
      <c r="W86" s="17">
        <f>COUNTIF(Template!$M$3:$M$619,Template!$D86)</f>
        <v>0</v>
      </c>
      <c r="X86" s="17">
        <f>IF(Template!$F86="","",SUMIF(Template!$M$3:$M$619,Template!$D86,Template!$AC$3:$AC$619))</f>
        <v>0</v>
      </c>
      <c r="Y86" s="17" t="str">
        <f>IFERROR(VLOOKUP(Template!$M86,Template!$D$3:$G$619,MATCH("EmployeeJobTitle",Template!$D$2:$G$2,0),FALSE),"NA")</f>
        <v>COORDENADOR DE TI</v>
      </c>
      <c r="Z86" s="17" t="str">
        <f>IFERROR(VLOOKUP(Template!$M86,Template!$D$3:$G$619,MATCH("EmployeeGroup",Template!$D$2:$G$2,0),FALSE),"NA")</f>
        <v>Coordenador</v>
      </c>
      <c r="AA86" s="17" t="str">
        <f>IFERROR(VLOOKUP(Template!$M86,Template!$D$3:$V$619,MATCH("Layer",Template!$D$2:$V$2,0),FALSE),"NA")</f>
        <v>N2</v>
      </c>
      <c r="AB86" s="21">
        <f>VLOOKUP(Template!$M86,Template!$D$3:$F$619,MATCH("InternalGrade",Template!$D$2:$F$2,0),FALSE)-Template!$F86</f>
        <v>3</v>
      </c>
      <c r="AC86" s="17">
        <f>IF(Template!$AB86&lt;=1, 0.8,IF(Template!$AB86=2,0.4,IF(Template!$AB86=3,0.2,IF(Template!$AB86=4,0.1,IF(Template!$AB86&gt;=5,0.05,"erro")))))</f>
        <v>0.2</v>
      </c>
      <c r="AD86" s="17" t="b">
        <f>Template!$D86=Template!$M86</f>
        <v>0</v>
      </c>
      <c r="AE86" s="12" t="s">
        <v>58</v>
      </c>
    </row>
    <row r="87" ht="15.75" customHeight="1">
      <c r="A87" s="7" t="s">
        <v>59</v>
      </c>
      <c r="B87" s="7" t="s">
        <v>80</v>
      </c>
      <c r="C87" s="7" t="s">
        <v>94</v>
      </c>
      <c r="D87" s="13">
        <v>16827.0</v>
      </c>
      <c r="E87" s="7" t="s">
        <v>159</v>
      </c>
      <c r="F87" s="13">
        <v>14.0</v>
      </c>
      <c r="G87" s="14" t="s">
        <v>63</v>
      </c>
      <c r="H87" s="7" t="s">
        <v>64</v>
      </c>
      <c r="I87" s="7" t="s">
        <v>65</v>
      </c>
      <c r="J87" s="7" t="s">
        <v>70</v>
      </c>
      <c r="K87" s="15">
        <v>43227.0</v>
      </c>
      <c r="L87" s="15">
        <v>35170.0</v>
      </c>
      <c r="M87" s="13">
        <v>20450.0</v>
      </c>
      <c r="N87" s="7">
        <v>2726.4</v>
      </c>
      <c r="O87" s="7"/>
      <c r="P87" s="7">
        <v>13.33</v>
      </c>
      <c r="Q87" s="7">
        <v>2726.4</v>
      </c>
      <c r="R87" s="20">
        <v>0.0</v>
      </c>
      <c r="S87" s="7"/>
      <c r="T87" s="20"/>
      <c r="U87" s="16">
        <f>SUM(Template!$N87:$O87)*Template!$P87+Template!$Q87</f>
        <v>39069.312</v>
      </c>
      <c r="V87" s="17" t="str">
        <f>IF(Template!$M87="CONSELHO","N",IF(Template!$AA87="N","N1",IF(Template!$AA87="N1","N2",IF(Template!$AA87="N2","N3",IF(Template!$AA87="N3","N4",IF(Template!$AA87="N4","N5",IF(Template!$AA87="N5","N6",IF(Template!$AA87="N6","N7",IF(Template!$AA87="N7","N8",IF(Template!$AA87="N8","N9",IF(Template!$AA87="N9","N10","NA")))))))))))</f>
        <v>N3</v>
      </c>
      <c r="W87" s="17">
        <f>COUNTIF(Template!$M$3:$M$619,Template!$D87)</f>
        <v>0</v>
      </c>
      <c r="X87" s="17">
        <f>IF(Template!$F87="","",SUMIF(Template!$M$3:$M$619,Template!$D87,Template!$AC$3:$AC$619))</f>
        <v>0</v>
      </c>
      <c r="Y87" s="17" t="str">
        <f>IFERROR(VLOOKUP(Template!$M87,Template!$D$3:$G$619,MATCH("EmployeeJobTitle",Template!$D$2:$G$2,0),FALSE),"NA")</f>
        <v>COORDENADOR DE ECOMMERCE</v>
      </c>
      <c r="Z87" s="17" t="str">
        <f>IFERROR(VLOOKUP(Template!$M87,Template!$D$3:$G$619,MATCH("EmployeeGroup",Template!$D$2:$G$2,0),FALSE),"NA")</f>
        <v>Coordenador</v>
      </c>
      <c r="AA87" s="17" t="str">
        <f>IFERROR(VLOOKUP(Template!$M87,Template!$D$3:$V$619,MATCH("Layer",Template!$D$2:$V$2,0),FALSE),"NA")</f>
        <v>N2</v>
      </c>
      <c r="AB87" s="21">
        <f>VLOOKUP(Template!$M87,Template!$D$3:$F$619,MATCH("InternalGrade",Template!$D$2:$F$2,0),FALSE)-Template!$F87</f>
        <v>4</v>
      </c>
      <c r="AC87" s="17">
        <f>IF(Template!$AB87&lt;=1, 0.8,IF(Template!$AB87=2,0.4,IF(Template!$AB87=3,0.2,IF(Template!$AB87=4,0.1,IF(Template!$AB87&gt;=5,0.05,"erro")))))</f>
        <v>0.1</v>
      </c>
      <c r="AD87" s="17" t="b">
        <f>Template!$D87=Template!$M87</f>
        <v>0</v>
      </c>
      <c r="AE87" s="12" t="s">
        <v>58</v>
      </c>
    </row>
    <row r="88" ht="15.75" customHeight="1">
      <c r="A88" s="7" t="s">
        <v>59</v>
      </c>
      <c r="B88" s="7" t="s">
        <v>80</v>
      </c>
      <c r="C88" s="7" t="s">
        <v>160</v>
      </c>
      <c r="D88" s="13">
        <v>12404.0</v>
      </c>
      <c r="E88" s="7" t="s">
        <v>155</v>
      </c>
      <c r="F88" s="13">
        <v>19.0</v>
      </c>
      <c r="G88" s="22" t="s">
        <v>87</v>
      </c>
      <c r="H88" s="7" t="s">
        <v>64</v>
      </c>
      <c r="I88" s="7" t="s">
        <v>65</v>
      </c>
      <c r="J88" s="7" t="s">
        <v>70</v>
      </c>
      <c r="K88" s="15">
        <v>41337.0</v>
      </c>
      <c r="L88" s="15">
        <v>25832.0</v>
      </c>
      <c r="M88" s="13">
        <v>24307.0</v>
      </c>
      <c r="N88" s="7">
        <v>11408.32</v>
      </c>
      <c r="O88" s="7"/>
      <c r="P88" s="7">
        <v>13.33</v>
      </c>
      <c r="Q88" s="7">
        <v>17112.48</v>
      </c>
      <c r="R88" s="20">
        <v>0.0</v>
      </c>
      <c r="S88" s="7"/>
      <c r="T88" s="20"/>
      <c r="U88" s="16">
        <f>SUM(Template!$N88:$O88)*Template!$P88+Template!$Q88</f>
        <v>169185.3856</v>
      </c>
      <c r="V88" s="17" t="str">
        <f>IF(Template!$M88="CONSELHO","N",IF(Template!$AA88="N","N1",IF(Template!$AA88="N1","N2",IF(Template!$AA88="N2","N3",IF(Template!$AA88="N3","N4",IF(Template!$AA88="N4","N5",IF(Template!$AA88="N5","N6",IF(Template!$AA88="N6","N7",IF(Template!$AA88="N7","N8",IF(Template!$AA88="N8","N9",IF(Template!$AA88="N9","N10","NA")))))))))))</f>
        <v>N2</v>
      </c>
      <c r="W88" s="17">
        <f>COUNTIF(Template!$M$3:$M$619,Template!$D88)</f>
        <v>16</v>
      </c>
      <c r="X88" s="17">
        <f>IF(Template!$F88="","",SUMIF(Template!$M$3:$M$619,Template!$D88,Template!$AC$3:$AC$619))</f>
        <v>0.8</v>
      </c>
      <c r="Y88" s="17" t="str">
        <f>IFERROR(VLOOKUP(Template!$M88,Template!$D$3:$G$619,MATCH("EmployeeJobTitle",Template!$D$2:$G$2,0),FALSE),"NA")</f>
        <v>DIRETOR COMERCIAL</v>
      </c>
      <c r="Z88" s="17" t="str">
        <f>IFERROR(VLOOKUP(Template!$M88,Template!$D$3:$G$619,MATCH("EmployeeGroup",Template!$D$2:$G$2,0),FALSE),"NA")</f>
        <v>Diretor</v>
      </c>
      <c r="AA88" s="17" t="str">
        <f>IFERROR(VLOOKUP(Template!$M88,Template!$D$3:$V$619,MATCH("Layer",Template!$D$2:$V$2,0),FALSE),"NA")</f>
        <v>N1</v>
      </c>
      <c r="AB88" s="21">
        <f>VLOOKUP(Template!$M88,Template!$D$3:$F$619,MATCH("InternalGrade",Template!$D$2:$F$2,0),FALSE)-Template!$F88</f>
        <v>3</v>
      </c>
      <c r="AC88" s="17">
        <f>IF(Template!$AB88&lt;=1, 0.8,IF(Template!$AB88=2,0.4,IF(Template!$AB88=3,0.2,IF(Template!$AB88=4,0.1,IF(Template!$AB88&gt;=5,0.05,"erro")))))</f>
        <v>0.2</v>
      </c>
      <c r="AD88" s="17" t="b">
        <f>Template!$D88=Template!$M88</f>
        <v>0</v>
      </c>
      <c r="AE88" s="12" t="s">
        <v>58</v>
      </c>
    </row>
    <row r="89" ht="15.75" customHeight="1">
      <c r="A89" s="7" t="s">
        <v>59</v>
      </c>
      <c r="B89" s="7" t="s">
        <v>80</v>
      </c>
      <c r="C89" s="7" t="s">
        <v>156</v>
      </c>
      <c r="D89" s="13">
        <v>22164.0</v>
      </c>
      <c r="E89" s="7" t="s">
        <v>161</v>
      </c>
      <c r="F89" s="13">
        <v>18.0</v>
      </c>
      <c r="G89" s="22" t="s">
        <v>87</v>
      </c>
      <c r="H89" s="7" t="s">
        <v>64</v>
      </c>
      <c r="I89" s="7" t="s">
        <v>65</v>
      </c>
      <c r="J89" s="7" t="s">
        <v>66</v>
      </c>
      <c r="K89" s="15">
        <v>44851.0</v>
      </c>
      <c r="L89" s="15">
        <v>33306.0</v>
      </c>
      <c r="M89" s="13">
        <v>24307.0</v>
      </c>
      <c r="N89" s="7">
        <v>11686.19</v>
      </c>
      <c r="O89" s="7"/>
      <c r="P89" s="7">
        <v>13.33</v>
      </c>
      <c r="Q89" s="7">
        <v>17529.285</v>
      </c>
      <c r="R89" s="20">
        <v>0.0</v>
      </c>
      <c r="S89" s="7"/>
      <c r="T89" s="20"/>
      <c r="U89" s="16">
        <f>SUM(Template!$N89:$O89)*Template!$P89+Template!$Q89</f>
        <v>173306.1977</v>
      </c>
      <c r="V89" s="17" t="str">
        <f>IF(Template!$M89="CONSELHO","N",IF(Template!$AA89="N","N1",IF(Template!$AA89="N1","N2",IF(Template!$AA89="N2","N3",IF(Template!$AA89="N3","N4",IF(Template!$AA89="N4","N5",IF(Template!$AA89="N5","N6",IF(Template!$AA89="N6","N7",IF(Template!$AA89="N7","N8",IF(Template!$AA89="N8","N9",IF(Template!$AA89="N9","N10","NA")))))))))))</f>
        <v>N2</v>
      </c>
      <c r="W89" s="17">
        <f>COUNTIF(Template!$M$3:$M$619,Template!$D89)</f>
        <v>1</v>
      </c>
      <c r="X89" s="17">
        <f>IF(Template!$F89="","",SUMIF(Template!$M$3:$M$619,Template!$D89,Template!$AC$3:$AC$619))</f>
        <v>0.1</v>
      </c>
      <c r="Y89" s="17" t="str">
        <f>IFERROR(VLOOKUP(Template!$M89,Template!$D$3:$G$619,MATCH("EmployeeJobTitle",Template!$D$2:$G$2,0),FALSE),"NA")</f>
        <v>DIRETOR COMERCIAL</v>
      </c>
      <c r="Z89" s="17" t="str">
        <f>IFERROR(VLOOKUP(Template!$M89,Template!$D$3:$G$619,MATCH("EmployeeGroup",Template!$D$2:$G$2,0),FALSE),"NA")</f>
        <v>Diretor</v>
      </c>
      <c r="AA89" s="17" t="str">
        <f>IFERROR(VLOOKUP(Template!$M89,Template!$D$3:$V$619,MATCH("Layer",Template!$D$2:$V$2,0),FALSE),"NA")</f>
        <v>N1</v>
      </c>
      <c r="AB89" s="21">
        <f>VLOOKUP(Template!$M89,Template!$D$3:$F$619,MATCH("InternalGrade",Template!$D$2:$F$2,0),FALSE)-Template!$F89</f>
        <v>4</v>
      </c>
      <c r="AC89" s="17">
        <f>IF(Template!$AB89&lt;=1, 0.8,IF(Template!$AB89=2,0.4,IF(Template!$AB89=3,0.2,IF(Template!$AB89=4,0.1,IF(Template!$AB89&gt;=5,0.05,"erro")))))</f>
        <v>0.1</v>
      </c>
      <c r="AD89" s="17" t="b">
        <f>Template!$D89=Template!$M89</f>
        <v>0</v>
      </c>
      <c r="AE89" s="12" t="s">
        <v>58</v>
      </c>
    </row>
    <row r="90" ht="15.75" customHeight="1">
      <c r="A90" s="7" t="s">
        <v>59</v>
      </c>
      <c r="B90" s="7" t="s">
        <v>67</v>
      </c>
      <c r="C90" s="7" t="s">
        <v>162</v>
      </c>
      <c r="D90" s="13">
        <v>23265.0</v>
      </c>
      <c r="E90" s="7" t="s">
        <v>163</v>
      </c>
      <c r="F90" s="13">
        <v>21.0</v>
      </c>
      <c r="G90" s="22" t="s">
        <v>164</v>
      </c>
      <c r="H90" s="7" t="s">
        <v>64</v>
      </c>
      <c r="I90" s="7" t="s">
        <v>65</v>
      </c>
      <c r="J90" s="7" t="s">
        <v>70</v>
      </c>
      <c r="K90" s="15">
        <v>44578.0</v>
      </c>
      <c r="L90" s="15">
        <v>29272.0</v>
      </c>
      <c r="M90" s="13">
        <v>23258.0</v>
      </c>
      <c r="N90" s="7">
        <v>37872.81</v>
      </c>
      <c r="O90" s="7"/>
      <c r="P90" s="7">
        <v>12.0</v>
      </c>
      <c r="Q90" s="7">
        <v>189364.05</v>
      </c>
      <c r="R90" s="20">
        <v>75745.6128</v>
      </c>
      <c r="S90" s="7"/>
      <c r="T90" s="20"/>
      <c r="U90" s="16">
        <f>SUM(Template!$N90:$O90)*Template!$P90+Template!$Q90</f>
        <v>643837.77</v>
      </c>
      <c r="V90" s="17" t="str">
        <f>IF(Template!$M90="CONSELHO","N",IF(Template!$AA90="N","N1",IF(Template!$AA90="N1","N2",IF(Template!$AA90="N2","N3",IF(Template!$AA90="N3","N4",IF(Template!$AA90="N4","N5",IF(Template!$AA90="N5","N6",IF(Template!$AA90="N6","N7",IF(Template!$AA90="N7","N8",IF(Template!$AA90="N8","N9",IF(Template!$AA90="N9","N10","NA")))))))))))</f>
        <v>N1</v>
      </c>
      <c r="W90" s="17">
        <f>COUNTIF(Template!$M$3:$M$619,Template!$D90)</f>
        <v>9</v>
      </c>
      <c r="X90" s="17">
        <f>IF(Template!$F90="","",SUMIF(Template!$M$3:$M$619,Template!$D90,Template!$AC$3:$AC$619))</f>
        <v>1.15</v>
      </c>
      <c r="Y90" s="17" t="str">
        <f>IFERROR(VLOOKUP(Template!$M90,Template!$D$3:$G$619,MATCH("EmployeeJobTitle",Template!$D$2:$G$2,0),FALSE),"NA")</f>
        <v>CEO</v>
      </c>
      <c r="Z90" s="17" t="str">
        <f>IFERROR(VLOOKUP(Template!$M90,Template!$D$3:$G$619,MATCH("EmployeeGroup",Template!$D$2:$G$2,0),FALSE),"NA")</f>
        <v>CEO</v>
      </c>
      <c r="AA90" s="17" t="str">
        <f>IFERROR(VLOOKUP(Template!$M90,Template!$D$3:$V$619,MATCH("Layer",Template!$D$2:$V$2,0),FALSE),"NA")</f>
        <v>N</v>
      </c>
      <c r="AB90" s="21">
        <f>VLOOKUP(Template!$M90,Template!$D$3:$F$619,MATCH("InternalGrade",Template!$D$2:$F$2,0),FALSE)-Template!$F90</f>
        <v>4</v>
      </c>
      <c r="AC90" s="17">
        <f>IF(Template!$AB90&lt;=1, 0.8,IF(Template!$AB90=2,0.4,IF(Template!$AB90=3,0.2,IF(Template!$AB90=4,0.1,IF(Template!$AB90&gt;=5,0.05,"erro")))))</f>
        <v>0.1</v>
      </c>
      <c r="AD90" s="17" t="b">
        <f>Template!$D90=Template!$M90</f>
        <v>0</v>
      </c>
      <c r="AE90" s="12" t="s">
        <v>58</v>
      </c>
    </row>
    <row r="91" ht="15.75" customHeight="1">
      <c r="A91" s="7" t="s">
        <v>59</v>
      </c>
      <c r="B91" s="7" t="s">
        <v>67</v>
      </c>
      <c r="C91" s="7" t="s">
        <v>162</v>
      </c>
      <c r="D91" s="13">
        <v>24354.0</v>
      </c>
      <c r="E91" s="7" t="s">
        <v>165</v>
      </c>
      <c r="F91" s="13">
        <v>19.0</v>
      </c>
      <c r="G91" s="22" t="s">
        <v>111</v>
      </c>
      <c r="H91" s="7" t="s">
        <v>64</v>
      </c>
      <c r="I91" s="7" t="s">
        <v>65</v>
      </c>
      <c r="J91" s="7" t="s">
        <v>70</v>
      </c>
      <c r="K91" s="15">
        <v>45139.0</v>
      </c>
      <c r="L91" s="15">
        <v>30359.0</v>
      </c>
      <c r="M91" s="13">
        <v>23265.0</v>
      </c>
      <c r="N91" s="7">
        <v>22946.56</v>
      </c>
      <c r="O91" s="7"/>
      <c r="P91" s="7">
        <v>12.0</v>
      </c>
      <c r="Q91" s="7">
        <v>68839.68000000001</v>
      </c>
      <c r="R91" s="20">
        <v>13100.72265625</v>
      </c>
      <c r="S91" s="7"/>
      <c r="T91" s="20"/>
      <c r="U91" s="16">
        <f>SUM(Template!$N91:$O91)*Template!$P91+Template!$Q91</f>
        <v>344198.4</v>
      </c>
      <c r="V91" s="17" t="str">
        <f>IF(Template!$M91="CONSELHO","N",IF(Template!$AA91="N","N1",IF(Template!$AA91="N1","N2",IF(Template!$AA91="N2","N3",IF(Template!$AA91="N3","N4",IF(Template!$AA91="N4","N5",IF(Template!$AA91="N5","N6",IF(Template!$AA91="N6","N7",IF(Template!$AA91="N7","N8",IF(Template!$AA91="N8","N9",IF(Template!$AA91="N9","N10","NA")))))))))))</f>
        <v>N2</v>
      </c>
      <c r="W91" s="17">
        <f>COUNTIF(Template!$M$3:$M$619,Template!$D91)</f>
        <v>0</v>
      </c>
      <c r="X91" s="17">
        <f>IF(Template!$F91="","",SUMIF(Template!$M$3:$M$619,Template!$D91,Template!$AC$3:$AC$619))</f>
        <v>0</v>
      </c>
      <c r="Y91" s="17" t="str">
        <f>IFERROR(VLOOKUP(Template!$M91,Template!$D$3:$G$619,MATCH("EmployeeJobTitle",Template!$D$2:$G$2,0),FALSE),"NA")</f>
        <v>DIRETORA DE PRODUTO E ESTILO</v>
      </c>
      <c r="Z91" s="17" t="str">
        <f>IFERROR(VLOOKUP(Template!$M91,Template!$D$3:$G$619,MATCH("EmployeeGroup",Template!$D$2:$G$2,0),FALSE),"NA")</f>
        <v>Diretor</v>
      </c>
      <c r="AA91" s="17" t="str">
        <f>IFERROR(VLOOKUP(Template!$M91,Template!$D$3:$V$619,MATCH("Layer",Template!$D$2:$V$2,0),FALSE),"NA")</f>
        <v>N1</v>
      </c>
      <c r="AB91" s="21">
        <f>VLOOKUP(Template!$M91,Template!$D$3:$F$619,MATCH("InternalGrade",Template!$D$2:$F$2,0),FALSE)-Template!$F91</f>
        <v>2</v>
      </c>
      <c r="AC91" s="17">
        <f>IF(Template!$AB91&lt;=1, 0.8,IF(Template!$AB91=2,0.4,IF(Template!$AB91=3,0.2,IF(Template!$AB91=4,0.1,IF(Template!$AB91&gt;=5,0.05,"erro")))))</f>
        <v>0.4</v>
      </c>
      <c r="AD91" s="17" t="b">
        <f>Template!$D91=Template!$M91</f>
        <v>0</v>
      </c>
      <c r="AE91" s="12" t="s">
        <v>58</v>
      </c>
    </row>
    <row r="92" ht="15.75" customHeight="1">
      <c r="A92" s="7" t="s">
        <v>59</v>
      </c>
      <c r="B92" s="7" t="s">
        <v>96</v>
      </c>
      <c r="C92" s="7" t="s">
        <v>166</v>
      </c>
      <c r="D92" s="13">
        <v>23262.0</v>
      </c>
      <c r="E92" s="7" t="s">
        <v>167</v>
      </c>
      <c r="F92" s="13">
        <v>21.0</v>
      </c>
      <c r="G92" s="22" t="s">
        <v>164</v>
      </c>
      <c r="H92" s="7" t="s">
        <v>64</v>
      </c>
      <c r="I92" s="7" t="s">
        <v>65</v>
      </c>
      <c r="J92" s="7" t="s">
        <v>70</v>
      </c>
      <c r="K92" s="15">
        <v>44228.0</v>
      </c>
      <c r="L92" s="15">
        <v>29699.0</v>
      </c>
      <c r="M92" s="13">
        <v>23258.0</v>
      </c>
      <c r="N92" s="7">
        <v>37135.75</v>
      </c>
      <c r="O92" s="7"/>
      <c r="P92" s="7">
        <v>12.0</v>
      </c>
      <c r="Q92" s="7">
        <v>185678.75</v>
      </c>
      <c r="R92" s="20">
        <v>55703.624262000005</v>
      </c>
      <c r="S92" s="7"/>
      <c r="T92" s="20"/>
      <c r="U92" s="16">
        <f>SUM(Template!$N92:$O92)*Template!$P92+Template!$Q92</f>
        <v>631307.75</v>
      </c>
      <c r="V92" s="17" t="str">
        <f>IF(Template!$M92="CONSELHO","N",IF(Template!$AA92="N","N1",IF(Template!$AA92="N1","N2",IF(Template!$AA92="N2","N3",IF(Template!$AA92="N3","N4",IF(Template!$AA92="N4","N5",IF(Template!$AA92="N5","N6",IF(Template!$AA92="N6","N7",IF(Template!$AA92="N7","N8",IF(Template!$AA92="N8","N9",IF(Template!$AA92="N9","N10","NA")))))))))))</f>
        <v>N1</v>
      </c>
      <c r="W92" s="17">
        <f>COUNTIF(Template!$M$3:$M$619,Template!$D92)</f>
        <v>3</v>
      </c>
      <c r="X92" s="17">
        <f>IF(Template!$F92="","",SUMIF(Template!$M$3:$M$619,Template!$D92,Template!$AC$3:$AC$619))</f>
        <v>0.3</v>
      </c>
      <c r="Y92" s="17" t="str">
        <f>IFERROR(VLOOKUP(Template!$M92,Template!$D$3:$G$619,MATCH("EmployeeJobTitle",Template!$D$2:$G$2,0),FALSE),"NA")</f>
        <v>CEO</v>
      </c>
      <c r="Z92" s="17" t="str">
        <f>IFERROR(VLOOKUP(Template!$M92,Template!$D$3:$G$619,MATCH("EmployeeGroup",Template!$D$2:$G$2,0),FALSE),"NA")</f>
        <v>CEO</v>
      </c>
      <c r="AA92" s="17" t="str">
        <f>IFERROR(VLOOKUP(Template!$M92,Template!$D$3:$V$619,MATCH("Layer",Template!$D$2:$V$2,0),FALSE),"NA")</f>
        <v>N</v>
      </c>
      <c r="AB92" s="21">
        <f>VLOOKUP(Template!$M92,Template!$D$3:$F$619,MATCH("InternalGrade",Template!$D$2:$F$2,0),FALSE)-Template!$F92</f>
        <v>4</v>
      </c>
      <c r="AC92" s="17">
        <f>IF(Template!$AB92&lt;=1, 0.8,IF(Template!$AB92=2,0.4,IF(Template!$AB92=3,0.2,IF(Template!$AB92=4,0.1,IF(Template!$AB92&gt;=5,0.05,"erro")))))</f>
        <v>0.1</v>
      </c>
      <c r="AD92" s="17" t="b">
        <f>Template!$D92=Template!$M92</f>
        <v>0</v>
      </c>
      <c r="AE92" s="12" t="s">
        <v>58</v>
      </c>
    </row>
    <row r="93" ht="15.75" customHeight="1">
      <c r="A93" s="7" t="s">
        <v>59</v>
      </c>
      <c r="B93" s="7" t="s">
        <v>75</v>
      </c>
      <c r="C93" s="7" t="s">
        <v>76</v>
      </c>
      <c r="D93" s="13">
        <v>23263.0</v>
      </c>
      <c r="E93" s="7" t="s">
        <v>168</v>
      </c>
      <c r="F93" s="13">
        <v>19.0</v>
      </c>
      <c r="G93" s="22" t="s">
        <v>111</v>
      </c>
      <c r="H93" s="7" t="s">
        <v>64</v>
      </c>
      <c r="I93" s="7" t="s">
        <v>65</v>
      </c>
      <c r="J93" s="7" t="s">
        <v>70</v>
      </c>
      <c r="K93" s="15">
        <v>44466.0</v>
      </c>
      <c r="L93" s="15">
        <v>32197.0</v>
      </c>
      <c r="M93" s="13">
        <v>23259.0</v>
      </c>
      <c r="N93" s="7">
        <v>19999.29</v>
      </c>
      <c r="O93" s="7"/>
      <c r="P93" s="7">
        <v>12.0</v>
      </c>
      <c r="Q93" s="7">
        <v>59997.87</v>
      </c>
      <c r="R93" s="20">
        <v>25232.108770439998</v>
      </c>
      <c r="S93" s="7"/>
      <c r="T93" s="20"/>
      <c r="U93" s="16">
        <f>SUM(Template!$N93:$O93)*Template!$P93+Template!$Q93</f>
        <v>299989.35</v>
      </c>
      <c r="V93" s="17" t="str">
        <f>IF(Template!$M93="CONSELHO","N",IF(Template!$AA93="N","N1",IF(Template!$AA93="N1","N2",IF(Template!$AA93="N2","N3",IF(Template!$AA93="N3","N4",IF(Template!$AA93="N4","N5",IF(Template!$AA93="N5","N6",IF(Template!$AA93="N6","N7",IF(Template!$AA93="N7","N8",IF(Template!$AA93="N8","N9",IF(Template!$AA93="N9","N10","NA")))))))))))</f>
        <v>N2</v>
      </c>
      <c r="W93" s="17">
        <f>COUNTIF(Template!$M$3:$M$619,Template!$D93)</f>
        <v>1</v>
      </c>
      <c r="X93" s="17">
        <f>IF(Template!$F93="","",SUMIF(Template!$M$3:$M$619,Template!$D93,Template!$AC$3:$AC$619))</f>
        <v>0.8</v>
      </c>
      <c r="Y93" s="17" t="str">
        <f>IFERROR(VLOOKUP(Template!$M93,Template!$D$3:$G$619,MATCH("EmployeeJobTitle",Template!$D$2:$G$2,0),FALSE),"NA")</f>
        <v>DIRETOR DE MARKETING</v>
      </c>
      <c r="Z93" s="17" t="str">
        <f>IFERROR(VLOOKUP(Template!$M93,Template!$D$3:$G$619,MATCH("EmployeeGroup",Template!$D$2:$G$2,0),FALSE),"NA")</f>
        <v>Diretor</v>
      </c>
      <c r="AA93" s="17" t="str">
        <f>IFERROR(VLOOKUP(Template!$M93,Template!$D$3:$V$619,MATCH("Layer",Template!$D$2:$V$2,0),FALSE),"NA")</f>
        <v>N1</v>
      </c>
      <c r="AB93" s="21">
        <f>VLOOKUP(Template!$M93,Template!$D$3:$F$619,MATCH("InternalGrade",Template!$D$2:$F$2,0),FALSE)-Template!$F93</f>
        <v>2</v>
      </c>
      <c r="AC93" s="17">
        <f>IF(Template!$AB93&lt;=1, 0.8,IF(Template!$AB93=2,0.4,IF(Template!$AB93=3,0.2,IF(Template!$AB93=4,0.1,IF(Template!$AB93&gt;=5,0.05,"erro")))))</f>
        <v>0.4</v>
      </c>
      <c r="AD93" s="17" t="b">
        <f>Template!$D93=Template!$M93</f>
        <v>0</v>
      </c>
      <c r="AE93" s="12" t="s">
        <v>58</v>
      </c>
    </row>
    <row r="94" ht="15.75" customHeight="1">
      <c r="A94" s="7" t="s">
        <v>59</v>
      </c>
      <c r="B94" s="7" t="s">
        <v>80</v>
      </c>
      <c r="C94" s="7" t="s">
        <v>81</v>
      </c>
      <c r="D94" s="13">
        <v>24307.0</v>
      </c>
      <c r="E94" s="7" t="s">
        <v>169</v>
      </c>
      <c r="F94" s="13">
        <v>22.0</v>
      </c>
      <c r="G94" s="22" t="s">
        <v>164</v>
      </c>
      <c r="H94" s="7" t="s">
        <v>64</v>
      </c>
      <c r="I94" s="7" t="s">
        <v>65</v>
      </c>
      <c r="J94" s="7" t="s">
        <v>66</v>
      </c>
      <c r="K94" s="15">
        <v>45201.0</v>
      </c>
      <c r="L94" s="15">
        <v>28007.0</v>
      </c>
      <c r="M94" s="13">
        <v>23258.0</v>
      </c>
      <c r="N94" s="7">
        <v>50937.5</v>
      </c>
      <c r="O94" s="7"/>
      <c r="P94" s="7">
        <v>12.0</v>
      </c>
      <c r="Q94" s="7">
        <v>254687.5</v>
      </c>
      <c r="R94" s="20">
        <v>0.0</v>
      </c>
      <c r="S94" s="7"/>
      <c r="T94" s="20"/>
      <c r="U94" s="16">
        <f>SUM(Template!$N94:$O94)*Template!$P94+Template!$Q94</f>
        <v>865937.5</v>
      </c>
      <c r="V94" s="17" t="str">
        <f>IF(Template!$M94="CONSELHO","N",IF(Template!$AA94="N","N1",IF(Template!$AA94="N1","N2",IF(Template!$AA94="N2","N3",IF(Template!$AA94="N3","N4",IF(Template!$AA94="N4","N5",IF(Template!$AA94="N5","N6",IF(Template!$AA94="N6","N7",IF(Template!$AA94="N7","N8",IF(Template!$AA94="N8","N9",IF(Template!$AA94="N9","N10","NA")))))))))))</f>
        <v>N1</v>
      </c>
      <c r="W94" s="17">
        <f>COUNTIF(Template!$M$3:$M$619,Template!$D94)</f>
        <v>11</v>
      </c>
      <c r="X94" s="17">
        <f>IF(Template!$F94="","",SUMIF(Template!$M$3:$M$619,Template!$D94,Template!$AC$3:$AC$619))</f>
        <v>2.1</v>
      </c>
      <c r="Y94" s="17" t="str">
        <f>IFERROR(VLOOKUP(Template!$M94,Template!$D$3:$G$619,MATCH("EmployeeJobTitle",Template!$D$2:$G$2,0),FALSE),"NA")</f>
        <v>CEO</v>
      </c>
      <c r="Z94" s="17" t="str">
        <f>IFERROR(VLOOKUP(Template!$M94,Template!$D$3:$G$619,MATCH("EmployeeGroup",Template!$D$2:$G$2,0),FALSE),"NA")</f>
        <v>CEO</v>
      </c>
      <c r="AA94" s="17" t="str">
        <f>IFERROR(VLOOKUP(Template!$M94,Template!$D$3:$V$619,MATCH("Layer",Template!$D$2:$V$2,0),FALSE),"NA")</f>
        <v>N</v>
      </c>
      <c r="AB94" s="21">
        <f>VLOOKUP(Template!$M94,Template!$D$3:$F$619,MATCH("InternalGrade",Template!$D$2:$F$2,0),FALSE)-Template!$F94</f>
        <v>3</v>
      </c>
      <c r="AC94" s="17">
        <f>IF(Template!$AB94&lt;=1, 0.8,IF(Template!$AB94=2,0.4,IF(Template!$AB94=3,0.2,IF(Template!$AB94=4,0.1,IF(Template!$AB94&gt;=5,0.05,"erro")))))</f>
        <v>0.2</v>
      </c>
      <c r="AD94" s="17" t="b">
        <f>Template!$D94=Template!$M94</f>
        <v>0</v>
      </c>
      <c r="AE94" s="12" t="s">
        <v>58</v>
      </c>
    </row>
    <row r="95" ht="15.75" customHeight="1">
      <c r="A95" s="7" t="s">
        <v>59</v>
      </c>
      <c r="B95" s="7" t="s">
        <v>170</v>
      </c>
      <c r="C95" s="7" t="s">
        <v>170</v>
      </c>
      <c r="D95" s="13">
        <v>23258.0</v>
      </c>
      <c r="E95" s="7" t="s">
        <v>171</v>
      </c>
      <c r="F95" s="13">
        <v>25.0</v>
      </c>
      <c r="G95" s="22" t="s">
        <v>171</v>
      </c>
      <c r="H95" s="7" t="s">
        <v>64</v>
      </c>
      <c r="I95" s="7" t="s">
        <v>65</v>
      </c>
      <c r="J95" s="7" t="s">
        <v>66</v>
      </c>
      <c r="K95" s="15">
        <v>43794.0</v>
      </c>
      <c r="L95" s="15">
        <v>24341.0</v>
      </c>
      <c r="M95" s="13" t="s">
        <v>172</v>
      </c>
      <c r="N95" s="7">
        <v>99107.06</v>
      </c>
      <c r="O95" s="7"/>
      <c r="P95" s="7">
        <v>12.0</v>
      </c>
      <c r="Q95" s="7">
        <v>693749.4199999999</v>
      </c>
      <c r="R95" s="20">
        <v>210206.07012405002</v>
      </c>
      <c r="S95" s="7"/>
      <c r="T95" s="20"/>
      <c r="U95" s="16">
        <f>SUM(Template!$N95:$O95)*Template!$P95+Template!$Q95</f>
        <v>1883034.14</v>
      </c>
      <c r="V95" s="17" t="str">
        <f>IF(Template!$M95="CONSELHO","N",IF(Template!$AA95="N","N1",IF(Template!$AA95="N1","N2",IF(Template!$AA95="N2","N3",IF(Template!$AA95="N3","N4",IF(Template!$AA95="N4","N5",IF(Template!$AA95="N5","N6",IF(Template!$AA95="N6","N7",IF(Template!$AA95="N7","N8",IF(Template!$AA95="N8","N9",IF(Template!$AA95="N9","N10","NA")))))))))))</f>
        <v>N</v>
      </c>
      <c r="W95" s="17">
        <f>COUNTIF(Template!$M$3:$M$619,Template!$D95)</f>
        <v>7</v>
      </c>
      <c r="X95" s="17">
        <f>IF(Template!$F95="","",SUMIF(Template!$M$3:$M$619,Template!$D95,Template!$AC$3:$AC$619))</f>
        <v>0.85</v>
      </c>
      <c r="Y95" s="17" t="str">
        <f>IFERROR(VLOOKUP(Template!$M95,Template!$D$3:$G$619,MATCH("EmployeeJobTitle",Template!$D$2:$G$2,0),FALSE),"NA")</f>
        <v>NA</v>
      </c>
      <c r="Z95" s="17" t="str">
        <f>IFERROR(VLOOKUP(Template!$M95,Template!$D$3:$G$619,MATCH("EmployeeGroup",Template!$D$2:$G$2,0),FALSE),"NA")</f>
        <v>NA</v>
      </c>
      <c r="AA95" s="17" t="str">
        <f>IFERROR(VLOOKUP(Template!$M95,Template!$D$3:$V$619,MATCH("Layer",Template!$D$2:$V$2,0),FALSE),"NA")</f>
        <v>NA</v>
      </c>
      <c r="AB95" s="17" t="str">
        <f>VLOOKUP(Template!$M95,Template!$D$3:$F$619,MATCH("InternalGrade",Template!$D$2:$F$2,0),FALSE)-Template!$F95</f>
        <v>#N/A</v>
      </c>
      <c r="AC95" s="17" t="str">
        <f>IF(Template!$AB95&lt;=1, 0.8,IF(Template!$AB95=2,0.4,IF(Template!$AB95=3,0.2,IF(Template!$AB95=4,0.1,IF(Template!$AB95&gt;=5,0.05,"erro")))))</f>
        <v>#N/A</v>
      </c>
      <c r="AD95" s="17" t="b">
        <f>Template!$D95=Template!$M95</f>
        <v>0</v>
      </c>
      <c r="AE95" s="12" t="s">
        <v>58</v>
      </c>
    </row>
    <row r="96" ht="15.75" customHeight="1">
      <c r="A96" s="7" t="s">
        <v>59</v>
      </c>
      <c r="B96" s="7" t="s">
        <v>91</v>
      </c>
      <c r="C96" s="7" t="s">
        <v>91</v>
      </c>
      <c r="D96" s="13">
        <v>24945.0</v>
      </c>
      <c r="E96" s="7" t="s">
        <v>173</v>
      </c>
      <c r="F96" s="13">
        <v>19.0</v>
      </c>
      <c r="G96" s="22" t="s">
        <v>111</v>
      </c>
      <c r="H96" s="7" t="s">
        <v>64</v>
      </c>
      <c r="I96" s="7" t="s">
        <v>65</v>
      </c>
      <c r="J96" s="7" t="s">
        <v>66</v>
      </c>
      <c r="K96" s="15">
        <v>45369.0</v>
      </c>
      <c r="L96" s="15">
        <v>30245.0</v>
      </c>
      <c r="M96" s="13">
        <v>23258.0</v>
      </c>
      <c r="N96" s="7">
        <v>23500.0</v>
      </c>
      <c r="O96" s="7"/>
      <c r="P96" s="7">
        <v>12.0</v>
      </c>
      <c r="Q96" s="7">
        <v>70500.0</v>
      </c>
      <c r="R96" s="20">
        <v>0.0</v>
      </c>
      <c r="S96" s="7"/>
      <c r="T96" s="20"/>
      <c r="U96" s="16">
        <f>SUM(Template!$N96:$O96)*Template!$P96+Template!$Q96</f>
        <v>352500</v>
      </c>
      <c r="V96" s="17" t="str">
        <f>IF(Template!$M96="CONSELHO","N",IF(Template!$AA96="N","N1",IF(Template!$AA96="N1","N2",IF(Template!$AA96="N2","N3",IF(Template!$AA96="N3","N4",IF(Template!$AA96="N4","N5",IF(Template!$AA96="N5","N6",IF(Template!$AA96="N6","N7",IF(Template!$AA96="N7","N8",IF(Template!$AA96="N8","N9",IF(Template!$AA96="N9","N10","NA")))))))))))</f>
        <v>N1</v>
      </c>
      <c r="W96" s="17">
        <f>COUNTIF(Template!$M$3:$M$619,Template!$D96)</f>
        <v>1</v>
      </c>
      <c r="X96" s="17">
        <f>IF(Template!$F96="","",SUMIF(Template!$M$3:$M$619,Template!$D96,Template!$AC$3:$AC$619))</f>
        <v>0.8</v>
      </c>
      <c r="Y96" s="17" t="str">
        <f>IFERROR(VLOOKUP(Template!$M96,Template!$D$3:$G$619,MATCH("EmployeeJobTitle",Template!$D$2:$G$2,0),FALSE),"NA")</f>
        <v>CEO</v>
      </c>
      <c r="Z96" s="17" t="str">
        <f>IFERROR(VLOOKUP(Template!$M96,Template!$D$3:$G$619,MATCH("EmployeeGroup",Template!$D$2:$G$2,0),FALSE),"NA")</f>
        <v>CEO</v>
      </c>
      <c r="AA96" s="17" t="str">
        <f>IFERROR(VLOOKUP(Template!$M96,Template!$D$3:$V$619,MATCH("Layer",Template!$D$2:$V$2,0),FALSE),"NA")</f>
        <v>N</v>
      </c>
      <c r="AB96" s="21">
        <f>VLOOKUP(Template!$M96,Template!$D$3:$F$619,MATCH("InternalGrade",Template!$D$2:$F$2,0),FALSE)-Template!$F96</f>
        <v>6</v>
      </c>
      <c r="AC96" s="17">
        <f>IF(Template!$AB96&lt;=1, 0.8,IF(Template!$AB96=2,0.4,IF(Template!$AB96=3,0.2,IF(Template!$AB96=4,0.1,IF(Template!$AB96&gt;=5,0.05,"erro")))))</f>
        <v>0.05</v>
      </c>
      <c r="AD96" s="17" t="b">
        <f>Template!$D96=Template!$M96</f>
        <v>0</v>
      </c>
      <c r="AE96" s="12" t="s">
        <v>58</v>
      </c>
    </row>
    <row r="97" ht="15.75" customHeight="1">
      <c r="A97" s="7" t="s">
        <v>59</v>
      </c>
      <c r="B97" s="7" t="s">
        <v>60</v>
      </c>
      <c r="C97" s="7" t="s">
        <v>128</v>
      </c>
      <c r="D97" s="13">
        <v>23257.0</v>
      </c>
      <c r="E97" s="7" t="s">
        <v>174</v>
      </c>
      <c r="F97" s="13">
        <v>22.0</v>
      </c>
      <c r="G97" s="22" t="s">
        <v>164</v>
      </c>
      <c r="H97" s="7" t="s">
        <v>64</v>
      </c>
      <c r="I97" s="7" t="s">
        <v>65</v>
      </c>
      <c r="J97" s="7" t="s">
        <v>66</v>
      </c>
      <c r="K97" s="15">
        <v>43719.0</v>
      </c>
      <c r="L97" s="15">
        <v>28803.0</v>
      </c>
      <c r="M97" s="13">
        <v>23258.0</v>
      </c>
      <c r="N97" s="7">
        <v>57442.44</v>
      </c>
      <c r="O97" s="7"/>
      <c r="P97" s="7">
        <v>12.0</v>
      </c>
      <c r="Q97" s="7">
        <v>287212.2</v>
      </c>
      <c r="R97" s="20">
        <v>76961.71880100001</v>
      </c>
      <c r="S97" s="7"/>
      <c r="T97" s="20"/>
      <c r="U97" s="16">
        <f>SUM(Template!$N97:$O97)*Template!$P97+Template!$Q97</f>
        <v>976521.48</v>
      </c>
      <c r="V97" s="17" t="str">
        <f>IF(Template!$M97="CONSELHO","N",IF(Template!$AA97="N","N1",IF(Template!$AA97="N1","N2",IF(Template!$AA97="N2","N3",IF(Template!$AA97="N3","N4",IF(Template!$AA97="N4","N5",IF(Template!$AA97="N5","N6",IF(Template!$AA97="N6","N7",IF(Template!$AA97="N7","N8",IF(Template!$AA97="N8","N9",IF(Template!$AA97="N9","N10","NA")))))))))))</f>
        <v>N1</v>
      </c>
      <c r="W97" s="17">
        <f>COUNTIF(Template!$M$3:$M$619,Template!$D97)</f>
        <v>3</v>
      </c>
      <c r="X97" s="17">
        <f>IF(Template!$F97="","",SUMIF(Template!$M$3:$M$619,Template!$D97,Template!$AC$3:$AC$619))</f>
        <v>0.6</v>
      </c>
      <c r="Y97" s="17" t="str">
        <f>IFERROR(VLOOKUP(Template!$M97,Template!$D$3:$G$619,MATCH("EmployeeJobTitle",Template!$D$2:$G$2,0),FALSE),"NA")</f>
        <v>CEO</v>
      </c>
      <c r="Z97" s="17" t="str">
        <f>IFERROR(VLOOKUP(Template!$M97,Template!$D$3:$G$619,MATCH("EmployeeGroup",Template!$D$2:$G$2,0),FALSE),"NA")</f>
        <v>CEO</v>
      </c>
      <c r="AA97" s="17" t="str">
        <f>IFERROR(VLOOKUP(Template!$M97,Template!$D$3:$V$619,MATCH("Layer",Template!$D$2:$V$2,0),FALSE),"NA")</f>
        <v>N</v>
      </c>
      <c r="AB97" s="21">
        <f>VLOOKUP(Template!$M97,Template!$D$3:$F$619,MATCH("InternalGrade",Template!$D$2:$F$2,0),FALSE)-Template!$F97</f>
        <v>3</v>
      </c>
      <c r="AC97" s="17">
        <f>IF(Template!$AB97&lt;=1, 0.8,IF(Template!$AB97=2,0.4,IF(Template!$AB97=3,0.2,IF(Template!$AB97=4,0.1,IF(Template!$AB97&gt;=5,0.05,"erro")))))</f>
        <v>0.2</v>
      </c>
      <c r="AD97" s="17" t="b">
        <f>Template!$D97=Template!$M97</f>
        <v>0</v>
      </c>
      <c r="AE97" s="12" t="s">
        <v>58</v>
      </c>
    </row>
    <row r="98" ht="15.75" customHeight="1">
      <c r="A98" s="7" t="s">
        <v>59</v>
      </c>
      <c r="B98" s="7" t="s">
        <v>67</v>
      </c>
      <c r="C98" s="7" t="s">
        <v>162</v>
      </c>
      <c r="D98" s="13">
        <v>23254.0</v>
      </c>
      <c r="E98" s="7" t="s">
        <v>78</v>
      </c>
      <c r="F98" s="13">
        <v>18.0</v>
      </c>
      <c r="G98" s="14" t="s">
        <v>63</v>
      </c>
      <c r="H98" s="7" t="s">
        <v>64</v>
      </c>
      <c r="I98" s="7" t="s">
        <v>65</v>
      </c>
      <c r="J98" s="7" t="s">
        <v>70</v>
      </c>
      <c r="K98" s="15">
        <v>43115.0</v>
      </c>
      <c r="L98" s="15">
        <v>29180.0</v>
      </c>
      <c r="M98" s="13">
        <v>23265.0</v>
      </c>
      <c r="N98" s="7">
        <v>27448.07</v>
      </c>
      <c r="O98" s="7"/>
      <c r="P98" s="7">
        <v>12.0</v>
      </c>
      <c r="Q98" s="7">
        <v>27448.07</v>
      </c>
      <c r="R98" s="20">
        <v>0.0</v>
      </c>
      <c r="S98" s="7"/>
      <c r="T98" s="20"/>
      <c r="U98" s="16">
        <f>SUM(Template!$N98:$O98)*Template!$P98+Template!$Q98</f>
        <v>356824.91</v>
      </c>
      <c r="V98" s="17" t="str">
        <f>IF(Template!$M98="CONSELHO","N",IF(Template!$AA98="N","N1",IF(Template!$AA98="N1","N2",IF(Template!$AA98="N2","N3",IF(Template!$AA98="N3","N4",IF(Template!$AA98="N4","N5",IF(Template!$AA98="N5","N6",IF(Template!$AA98="N6","N7",IF(Template!$AA98="N7","N8",IF(Template!$AA98="N8","N9",IF(Template!$AA98="N9","N10","NA")))))))))))</f>
        <v>N2</v>
      </c>
      <c r="W98" s="17">
        <f>COUNTIF(Template!$M$3:$M$619,Template!$D98)</f>
        <v>0</v>
      </c>
      <c r="X98" s="17">
        <f>IF(Template!$F98="","",SUMIF(Template!$M$3:$M$619,Template!$D98,Template!$AC$3:$AC$619))</f>
        <v>0</v>
      </c>
      <c r="Y98" s="17" t="str">
        <f>IFERROR(VLOOKUP(Template!$M98,Template!$D$3:$G$619,MATCH("EmployeeJobTitle",Template!$D$2:$G$2,0),FALSE),"NA")</f>
        <v>DIRETORA DE PRODUTO E ESTILO</v>
      </c>
      <c r="Z98" s="17" t="str">
        <f>IFERROR(VLOOKUP(Template!$M98,Template!$D$3:$G$619,MATCH("EmployeeGroup",Template!$D$2:$G$2,0),FALSE),"NA")</f>
        <v>Diretor</v>
      </c>
      <c r="AA98" s="17" t="str">
        <f>IFERROR(VLOOKUP(Template!$M98,Template!$D$3:$V$619,MATCH("Layer",Template!$D$2:$V$2,0),FALSE),"NA")</f>
        <v>N1</v>
      </c>
      <c r="AB98" s="21">
        <f>VLOOKUP(Template!$M98,Template!$D$3:$F$619,MATCH("InternalGrade",Template!$D$2:$F$2,0),FALSE)-Template!$F98</f>
        <v>3</v>
      </c>
      <c r="AC98" s="17">
        <f>IF(Template!$AB98&lt;=1, 0.8,IF(Template!$AB98=2,0.4,IF(Template!$AB98=3,0.2,IF(Template!$AB98=4,0.1,IF(Template!$AB98&gt;=5,0.05,"erro")))))</f>
        <v>0.2</v>
      </c>
      <c r="AD98" s="17" t="b">
        <f>Template!$D98=Template!$M98</f>
        <v>0</v>
      </c>
      <c r="AE98" s="12" t="s">
        <v>58</v>
      </c>
    </row>
    <row r="99" ht="15.75" customHeight="1">
      <c r="A99" s="7" t="s">
        <v>59</v>
      </c>
      <c r="B99" s="7" t="s">
        <v>60</v>
      </c>
      <c r="C99" s="7" t="s">
        <v>99</v>
      </c>
      <c r="D99" s="13">
        <v>23251.0</v>
      </c>
      <c r="E99" s="7" t="s">
        <v>175</v>
      </c>
      <c r="F99" s="13">
        <v>19.0</v>
      </c>
      <c r="G99" s="22" t="s">
        <v>111</v>
      </c>
      <c r="H99" s="7" t="s">
        <v>64</v>
      </c>
      <c r="I99" s="7" t="s">
        <v>65</v>
      </c>
      <c r="J99" s="7" t="s">
        <v>66</v>
      </c>
      <c r="K99" s="15">
        <v>41509.0</v>
      </c>
      <c r="L99" s="15">
        <v>27426.0</v>
      </c>
      <c r="M99" s="13">
        <v>23257.0</v>
      </c>
      <c r="N99" s="7">
        <v>32939.38</v>
      </c>
      <c r="O99" s="7"/>
      <c r="P99" s="7">
        <v>12.0</v>
      </c>
      <c r="Q99" s="7">
        <v>98818.13999999998</v>
      </c>
      <c r="R99" s="20">
        <v>49409.05777500001</v>
      </c>
      <c r="S99" s="7"/>
      <c r="T99" s="20"/>
      <c r="U99" s="16">
        <f>SUM(Template!$N99:$O99)*Template!$P99+Template!$Q99</f>
        <v>494090.7</v>
      </c>
      <c r="V99" s="17" t="str">
        <f>IF(Template!$M99="CONSELHO","N",IF(Template!$AA99="N","N1",IF(Template!$AA99="N1","N2",IF(Template!$AA99="N2","N3",IF(Template!$AA99="N3","N4",IF(Template!$AA99="N4","N5",IF(Template!$AA99="N5","N6",IF(Template!$AA99="N6","N7",IF(Template!$AA99="N7","N8",IF(Template!$AA99="N8","N9",IF(Template!$AA99="N9","N10","NA")))))))))))</f>
        <v>N2</v>
      </c>
      <c r="W99" s="17">
        <f>COUNTIF(Template!$M$3:$M$619,Template!$D99)</f>
        <v>9</v>
      </c>
      <c r="X99" s="17">
        <f>IF(Template!$F99="","",SUMIF(Template!$M$3:$M$619,Template!$D99,Template!$AC$3:$AC$619))</f>
        <v>1.75</v>
      </c>
      <c r="Y99" s="17" t="str">
        <f>IFERROR(VLOOKUP(Template!$M99,Template!$D$3:$G$619,MATCH("EmployeeJobTitle",Template!$D$2:$G$2,0),FALSE),"NA")</f>
        <v>DIRETOR FINANCEIRO</v>
      </c>
      <c r="Z99" s="17" t="str">
        <f>IFERROR(VLOOKUP(Template!$M99,Template!$D$3:$G$619,MATCH("EmployeeGroup",Template!$D$2:$G$2,0),FALSE),"NA")</f>
        <v>Diretor</v>
      </c>
      <c r="AA99" s="17" t="str">
        <f>IFERROR(VLOOKUP(Template!$M99,Template!$D$3:$V$619,MATCH("Layer",Template!$D$2:$V$2,0),FALSE),"NA")</f>
        <v>N1</v>
      </c>
      <c r="AB99" s="21">
        <f>VLOOKUP(Template!$M99,Template!$D$3:$F$619,MATCH("InternalGrade",Template!$D$2:$F$2,0),FALSE)-Template!$F99</f>
        <v>3</v>
      </c>
      <c r="AC99" s="17">
        <f>IF(Template!$AB99&lt;=1, 0.8,IF(Template!$AB99=2,0.4,IF(Template!$AB99=3,0.2,IF(Template!$AB99=4,0.1,IF(Template!$AB99&gt;=5,0.05,"erro")))))</f>
        <v>0.2</v>
      </c>
      <c r="AD99" s="17" t="b">
        <f>Template!$D99=Template!$M99</f>
        <v>0</v>
      </c>
      <c r="AE99" s="12" t="s">
        <v>58</v>
      </c>
    </row>
    <row r="100" ht="15.75" customHeight="1">
      <c r="A100" s="7" t="s">
        <v>59</v>
      </c>
      <c r="B100" s="7" t="s">
        <v>75</v>
      </c>
      <c r="C100" s="7" t="s">
        <v>76</v>
      </c>
      <c r="D100" s="13">
        <v>23259.0</v>
      </c>
      <c r="E100" s="7" t="s">
        <v>176</v>
      </c>
      <c r="F100" s="13">
        <v>21.0</v>
      </c>
      <c r="G100" s="22" t="s">
        <v>164</v>
      </c>
      <c r="H100" s="7" t="s">
        <v>64</v>
      </c>
      <c r="I100" s="7" t="s">
        <v>65</v>
      </c>
      <c r="J100" s="7" t="s">
        <v>70</v>
      </c>
      <c r="K100" s="15">
        <v>43906.0</v>
      </c>
      <c r="L100" s="15">
        <v>30061.0</v>
      </c>
      <c r="M100" s="13">
        <v>23258.0</v>
      </c>
      <c r="N100" s="7">
        <v>40969.27</v>
      </c>
      <c r="O100" s="7"/>
      <c r="P100" s="7">
        <v>12.0</v>
      </c>
      <c r="Q100" s="7">
        <v>204846.34999999998</v>
      </c>
      <c r="R100" s="20">
        <v>98753.844555102</v>
      </c>
      <c r="S100" s="7"/>
      <c r="T100" s="20"/>
      <c r="U100" s="16">
        <f>SUM(Template!$N100:$O100)*Template!$P100+Template!$Q100</f>
        <v>696477.59</v>
      </c>
      <c r="V100" s="17" t="str">
        <f>IF(Template!$M100="CONSELHO","N",IF(Template!$AA100="N","N1",IF(Template!$AA100="N1","N2",IF(Template!$AA100="N2","N3",IF(Template!$AA100="N3","N4",IF(Template!$AA100="N4","N5",IF(Template!$AA100="N5","N6",IF(Template!$AA100="N6","N7",IF(Template!$AA100="N7","N8",IF(Template!$AA100="N8","N9",IF(Template!$AA100="N9","N10","NA")))))))))))</f>
        <v>N1</v>
      </c>
      <c r="W100" s="17">
        <f>COUNTIF(Template!$M$3:$M$619,Template!$D100)</f>
        <v>2</v>
      </c>
      <c r="X100" s="17">
        <f>IF(Template!$F100="","",SUMIF(Template!$M$3:$M$619,Template!$D100,Template!$AC$3:$AC$619))</f>
        <v>0.8</v>
      </c>
      <c r="Y100" s="17" t="str">
        <f>IFERROR(VLOOKUP(Template!$M100,Template!$D$3:$G$619,MATCH("EmployeeJobTitle",Template!$D$2:$G$2,0),FALSE),"NA")</f>
        <v>CEO</v>
      </c>
      <c r="Z100" s="17" t="str">
        <f>IFERROR(VLOOKUP(Template!$M100,Template!$D$3:$G$619,MATCH("EmployeeGroup",Template!$D$2:$G$2,0),FALSE),"NA")</f>
        <v>CEO</v>
      </c>
      <c r="AA100" s="17" t="str">
        <f>IFERROR(VLOOKUP(Template!$M100,Template!$D$3:$V$619,MATCH("Layer",Template!$D$2:$V$2,0),FALSE),"NA")</f>
        <v>N</v>
      </c>
      <c r="AB100" s="21">
        <f>VLOOKUP(Template!$M100,Template!$D$3:$F$619,MATCH("InternalGrade",Template!$D$2:$F$2,0),FALSE)-Template!$F100</f>
        <v>4</v>
      </c>
      <c r="AC100" s="17">
        <f>IF(Template!$AB100&lt;=1, 0.8,IF(Template!$AB100=2,0.4,IF(Template!$AB100=3,0.2,IF(Template!$AB100=4,0.1,IF(Template!$AB100&gt;=5,0.05,"erro")))))</f>
        <v>0.1</v>
      </c>
      <c r="AD100" s="17" t="b">
        <f>Template!$D100=Template!$M100</f>
        <v>0</v>
      </c>
      <c r="AE100" s="12" t="s">
        <v>58</v>
      </c>
    </row>
    <row r="101" ht="15.75" customHeight="1">
      <c r="A101" s="7" t="s">
        <v>59</v>
      </c>
      <c r="B101" s="7" t="s">
        <v>71</v>
      </c>
      <c r="C101" s="7" t="s">
        <v>84</v>
      </c>
      <c r="D101" s="13">
        <v>23261.0</v>
      </c>
      <c r="E101" s="7" t="s">
        <v>177</v>
      </c>
      <c r="F101" s="13">
        <v>21.0</v>
      </c>
      <c r="G101" s="22" t="s">
        <v>164</v>
      </c>
      <c r="H101" s="7" t="s">
        <v>64</v>
      </c>
      <c r="I101" s="7" t="s">
        <v>65</v>
      </c>
      <c r="J101" s="7" t="s">
        <v>70</v>
      </c>
      <c r="K101" s="15">
        <v>44198.0</v>
      </c>
      <c r="L101" s="15">
        <v>29700.0</v>
      </c>
      <c r="M101" s="13">
        <v>23258.0</v>
      </c>
      <c r="N101" s="7">
        <v>36855.44</v>
      </c>
      <c r="O101" s="7"/>
      <c r="P101" s="7">
        <v>12.0</v>
      </c>
      <c r="Q101" s="7">
        <v>184277.2</v>
      </c>
      <c r="R101" s="20">
        <v>78533.09303399998</v>
      </c>
      <c r="S101" s="7"/>
      <c r="T101" s="20"/>
      <c r="U101" s="16">
        <f>SUM(Template!$N101:$O101)*Template!$P101+Template!$Q101</f>
        <v>626542.48</v>
      </c>
      <c r="V101" s="17" t="str">
        <f>IF(Template!$M101="CONSELHO","N",IF(Template!$AA101="N","N1",IF(Template!$AA101="N1","N2",IF(Template!$AA101="N2","N3",IF(Template!$AA101="N3","N4",IF(Template!$AA101="N4","N5",IF(Template!$AA101="N5","N6",IF(Template!$AA101="N6","N7",IF(Template!$AA101="N7","N8",IF(Template!$AA101="N8","N9",IF(Template!$AA101="N9","N10","NA")))))))))))</f>
        <v>N1</v>
      </c>
      <c r="W101" s="17">
        <f>COUNTIF(Template!$M$3:$M$619,Template!$D101)</f>
        <v>5</v>
      </c>
      <c r="X101" s="17">
        <f>IF(Template!$F101="","",SUMIF(Template!$M$3:$M$619,Template!$D101,Template!$AC$3:$AC$619))</f>
        <v>1.6</v>
      </c>
      <c r="Y101" s="17" t="str">
        <f>IFERROR(VLOOKUP(Template!$M101,Template!$D$3:$G$619,MATCH("EmployeeJobTitle",Template!$D$2:$G$2,0),FALSE),"NA")</f>
        <v>CEO</v>
      </c>
      <c r="Z101" s="17" t="str">
        <f>IFERROR(VLOOKUP(Template!$M101,Template!$D$3:$G$619,MATCH("EmployeeGroup",Template!$D$2:$G$2,0),FALSE),"NA")</f>
        <v>CEO</v>
      </c>
      <c r="AA101" s="17" t="str">
        <f>IFERROR(VLOOKUP(Template!$M101,Template!$D$3:$V$619,MATCH("Layer",Template!$D$2:$V$2,0),FALSE),"NA")</f>
        <v>N</v>
      </c>
      <c r="AB101" s="21">
        <f>VLOOKUP(Template!$M101,Template!$D$3:$F$619,MATCH("InternalGrade",Template!$D$2:$F$2,0),FALSE)-Template!$F101</f>
        <v>4</v>
      </c>
      <c r="AC101" s="17">
        <f>IF(Template!$AB101&lt;=1, 0.8,IF(Template!$AB101=2,0.4,IF(Template!$AB101=3,0.2,IF(Template!$AB101=4,0.1,IF(Template!$AB101&gt;=5,0.05,"erro")))))</f>
        <v>0.1</v>
      </c>
      <c r="AD101" s="17" t="b">
        <f>Template!$D101=Template!$M101</f>
        <v>0</v>
      </c>
      <c r="AE101" s="12" t="s">
        <v>58</v>
      </c>
    </row>
    <row r="102" ht="15.75" customHeight="1">
      <c r="A102" s="7" t="s">
        <v>59</v>
      </c>
      <c r="B102" s="7" t="s">
        <v>80</v>
      </c>
      <c r="C102" s="7" t="s">
        <v>178</v>
      </c>
      <c r="D102" s="13">
        <v>23256.0</v>
      </c>
      <c r="E102" s="7" t="s">
        <v>155</v>
      </c>
      <c r="F102" s="13">
        <v>19.0</v>
      </c>
      <c r="G102" s="22" t="s">
        <v>87</v>
      </c>
      <c r="H102" s="7" t="s">
        <v>64</v>
      </c>
      <c r="I102" s="7" t="s">
        <v>65</v>
      </c>
      <c r="J102" s="7" t="s">
        <v>70</v>
      </c>
      <c r="K102" s="15">
        <v>43237.0</v>
      </c>
      <c r="L102" s="15">
        <v>24516.0</v>
      </c>
      <c r="M102" s="13">
        <v>24307.0</v>
      </c>
      <c r="N102" s="7">
        <v>12636.04</v>
      </c>
      <c r="O102" s="7"/>
      <c r="P102" s="7">
        <v>12.0</v>
      </c>
      <c r="Q102" s="7">
        <v>18954.06</v>
      </c>
      <c r="R102" s="20">
        <v>0.0</v>
      </c>
      <c r="S102" s="7"/>
      <c r="T102" s="20"/>
      <c r="U102" s="16">
        <f>SUM(Template!$N102:$O102)*Template!$P102+Template!$Q102</f>
        <v>170586.54</v>
      </c>
      <c r="V102" s="17" t="str">
        <f>IF(Template!$M102="CONSELHO","N",IF(Template!$AA102="N","N1",IF(Template!$AA102="N1","N2",IF(Template!$AA102="N2","N3",IF(Template!$AA102="N3","N4",IF(Template!$AA102="N4","N5",IF(Template!$AA102="N5","N6",IF(Template!$AA102="N6","N7",IF(Template!$AA102="N7","N8",IF(Template!$AA102="N8","N9",IF(Template!$AA102="N9","N10","NA")))))))))))</f>
        <v>N2</v>
      </c>
      <c r="W102" s="17">
        <f>COUNTIF(Template!$M$3:$M$619,Template!$D102)</f>
        <v>16</v>
      </c>
      <c r="X102" s="17">
        <f>IF(Template!$F102="","",SUMIF(Template!$M$3:$M$619,Template!$D102,Template!$AC$3:$AC$619))</f>
        <v>0.8</v>
      </c>
      <c r="Y102" s="17" t="str">
        <f>IFERROR(VLOOKUP(Template!$M102,Template!$D$3:$G$619,MATCH("EmployeeJobTitle",Template!$D$2:$G$2,0),FALSE),"NA")</f>
        <v>DIRETOR COMERCIAL</v>
      </c>
      <c r="Z102" s="17" t="str">
        <f>IFERROR(VLOOKUP(Template!$M102,Template!$D$3:$G$619,MATCH("EmployeeGroup",Template!$D$2:$G$2,0),FALSE),"NA")</f>
        <v>Diretor</v>
      </c>
      <c r="AA102" s="17" t="str">
        <f>IFERROR(VLOOKUP(Template!$M102,Template!$D$3:$V$619,MATCH("Layer",Template!$D$2:$V$2,0),FALSE),"NA")</f>
        <v>N1</v>
      </c>
      <c r="AB102" s="21">
        <f>VLOOKUP(Template!$M102,Template!$D$3:$F$619,MATCH("InternalGrade",Template!$D$2:$F$2,0),FALSE)-Template!$F102</f>
        <v>3</v>
      </c>
      <c r="AC102" s="17">
        <f>IF(Template!$AB102&lt;=1, 0.8,IF(Template!$AB102=2,0.4,IF(Template!$AB102=3,0.2,IF(Template!$AB102=4,0.1,IF(Template!$AB102&gt;=5,0.05,"erro")))))</f>
        <v>0.2</v>
      </c>
      <c r="AD102" s="17" t="b">
        <f>Template!$D102=Template!$M102</f>
        <v>0</v>
      </c>
      <c r="AE102" s="12" t="s">
        <v>58</v>
      </c>
    </row>
    <row r="103" ht="15.75" customHeight="1">
      <c r="A103" s="7" t="s">
        <v>59</v>
      </c>
      <c r="B103" s="7" t="s">
        <v>67</v>
      </c>
      <c r="C103" s="7" t="s">
        <v>81</v>
      </c>
      <c r="D103" s="13">
        <v>23260.0</v>
      </c>
      <c r="E103" s="7" t="s">
        <v>179</v>
      </c>
      <c r="F103" s="13">
        <v>18.0</v>
      </c>
      <c r="G103" s="22" t="s">
        <v>111</v>
      </c>
      <c r="H103" s="7" t="s">
        <v>64</v>
      </c>
      <c r="I103" s="7" t="s">
        <v>65</v>
      </c>
      <c r="J103" s="7" t="s">
        <v>66</v>
      </c>
      <c r="K103" s="15">
        <v>44053.0</v>
      </c>
      <c r="L103" s="15">
        <v>32916.0</v>
      </c>
      <c r="M103" s="13">
        <v>24307.0</v>
      </c>
      <c r="N103" s="7">
        <v>23512.84</v>
      </c>
      <c r="O103" s="7"/>
      <c r="P103" s="7">
        <v>12.0</v>
      </c>
      <c r="Q103" s="7">
        <v>70538.52</v>
      </c>
      <c r="R103" s="20">
        <v>31502.674500000005</v>
      </c>
      <c r="S103" s="7"/>
      <c r="T103" s="20"/>
      <c r="U103" s="16">
        <f>SUM(Template!$N103:$O103)*Template!$P103+Template!$Q103</f>
        <v>352692.6</v>
      </c>
      <c r="V103" s="17" t="str">
        <f>IF(Template!$M103="CONSELHO","N",IF(Template!$AA103="N","N1",IF(Template!$AA103="N1","N2",IF(Template!$AA103="N2","N3",IF(Template!$AA103="N3","N4",IF(Template!$AA103="N4","N5",IF(Template!$AA103="N5","N6",IF(Template!$AA103="N6","N7",IF(Template!$AA103="N7","N8",IF(Template!$AA103="N8","N9",IF(Template!$AA103="N9","N10","NA")))))))))))</f>
        <v>N2</v>
      </c>
      <c r="W103" s="17">
        <f>COUNTIF(Template!$M$3:$M$619,Template!$D103)</f>
        <v>1</v>
      </c>
      <c r="X103" s="17">
        <f>IF(Template!$F103="","",SUMIF(Template!$M$3:$M$619,Template!$D103,Template!$AC$3:$AC$619))</f>
        <v>0.8</v>
      </c>
      <c r="Y103" s="17" t="str">
        <f>IFERROR(VLOOKUP(Template!$M103,Template!$D$3:$G$619,MATCH("EmployeeJobTitle",Template!$D$2:$G$2,0),FALSE),"NA")</f>
        <v>DIRETOR COMERCIAL</v>
      </c>
      <c r="Z103" s="17" t="str">
        <f>IFERROR(VLOOKUP(Template!$M103,Template!$D$3:$G$619,MATCH("EmployeeGroup",Template!$D$2:$G$2,0),FALSE),"NA")</f>
        <v>Diretor</v>
      </c>
      <c r="AA103" s="17" t="str">
        <f>IFERROR(VLOOKUP(Template!$M103,Template!$D$3:$V$619,MATCH("Layer",Template!$D$2:$V$2,0),FALSE),"NA")</f>
        <v>N1</v>
      </c>
      <c r="AB103" s="21">
        <f>VLOOKUP(Template!$M103,Template!$D$3:$F$619,MATCH("InternalGrade",Template!$D$2:$F$2,0),FALSE)-Template!$F103</f>
        <v>4</v>
      </c>
      <c r="AC103" s="17">
        <f>IF(Template!$AB103&lt;=1, 0.8,IF(Template!$AB103=2,0.4,IF(Template!$AB103=3,0.2,IF(Template!$AB103=4,0.1,IF(Template!$AB103&gt;=5,0.05,"erro")))))</f>
        <v>0.1</v>
      </c>
      <c r="AD103" s="17" t="b">
        <f>Template!$D103=Template!$M103</f>
        <v>0</v>
      </c>
      <c r="AE103" s="12" t="s">
        <v>58</v>
      </c>
    </row>
    <row r="104" ht="15.75" customHeight="1">
      <c r="A104" s="7" t="s">
        <v>59</v>
      </c>
      <c r="B104" s="7" t="s">
        <v>75</v>
      </c>
      <c r="C104" s="7" t="s">
        <v>89</v>
      </c>
      <c r="D104" s="13">
        <v>23266.0</v>
      </c>
      <c r="E104" s="7" t="s">
        <v>180</v>
      </c>
      <c r="F104" s="13">
        <v>19.0</v>
      </c>
      <c r="G104" s="22" t="s">
        <v>111</v>
      </c>
      <c r="H104" s="7" t="s">
        <v>64</v>
      </c>
      <c r="I104" s="7" t="s">
        <v>65</v>
      </c>
      <c r="J104" s="7" t="s">
        <v>66</v>
      </c>
      <c r="K104" s="15">
        <v>44690.0</v>
      </c>
      <c r="L104" s="15">
        <v>31689.0</v>
      </c>
      <c r="M104" s="13">
        <v>23259.0</v>
      </c>
      <c r="N104" s="7">
        <v>19532.62</v>
      </c>
      <c r="O104" s="7"/>
      <c r="P104" s="7">
        <v>12.0</v>
      </c>
      <c r="Q104" s="7">
        <v>58597.86</v>
      </c>
      <c r="R104" s="20">
        <v>27641.45175</v>
      </c>
      <c r="S104" s="7"/>
      <c r="T104" s="20"/>
      <c r="U104" s="16">
        <f>SUM(Template!$N104:$O104)*Template!$P104+Template!$Q104</f>
        <v>292989.3</v>
      </c>
      <c r="V104" s="17" t="str">
        <f>IF(Template!$M104="CONSELHO","N",IF(Template!$AA104="N","N1",IF(Template!$AA104="N1","N2",IF(Template!$AA104="N2","N3",IF(Template!$AA104="N3","N4",IF(Template!$AA104="N4","N5",IF(Template!$AA104="N5","N6",IF(Template!$AA104="N6","N7",IF(Template!$AA104="N7","N8",IF(Template!$AA104="N8","N9",IF(Template!$AA104="N9","N10","NA")))))))))))</f>
        <v>N2</v>
      </c>
      <c r="W104" s="17">
        <f>COUNTIF(Template!$M$3:$M$619,Template!$D104)</f>
        <v>6</v>
      </c>
      <c r="X104" s="17">
        <f>IF(Template!$F104="","",SUMIF(Template!$M$3:$M$619,Template!$D104,Template!$AC$3:$AC$619))</f>
        <v>0.45</v>
      </c>
      <c r="Y104" s="17" t="str">
        <f>IFERROR(VLOOKUP(Template!$M104,Template!$D$3:$G$619,MATCH("EmployeeJobTitle",Template!$D$2:$G$2,0),FALSE),"NA")</f>
        <v>DIRETOR DE MARKETING</v>
      </c>
      <c r="Z104" s="17" t="str">
        <f>IFERROR(VLOOKUP(Template!$M104,Template!$D$3:$G$619,MATCH("EmployeeGroup",Template!$D$2:$G$2,0),FALSE),"NA")</f>
        <v>Diretor</v>
      </c>
      <c r="AA104" s="17" t="str">
        <f>IFERROR(VLOOKUP(Template!$M104,Template!$D$3:$V$619,MATCH("Layer",Template!$D$2:$V$2,0),FALSE),"NA")</f>
        <v>N1</v>
      </c>
      <c r="AB104" s="21">
        <f>VLOOKUP(Template!$M104,Template!$D$3:$F$619,MATCH("InternalGrade",Template!$D$2:$F$2,0),FALSE)-Template!$F104</f>
        <v>2</v>
      </c>
      <c r="AC104" s="17">
        <f>IF(Template!$AB104&lt;=1, 0.8,IF(Template!$AB104=2,0.4,IF(Template!$AB104=3,0.2,IF(Template!$AB104=4,0.1,IF(Template!$AB104&gt;=5,0.05,"erro")))))</f>
        <v>0.4</v>
      </c>
      <c r="AD104" s="17" t="b">
        <f>Template!$D104=Template!$M104</f>
        <v>0</v>
      </c>
      <c r="AE104" s="12" t="s">
        <v>58</v>
      </c>
    </row>
    <row r="105" ht="15.75" customHeight="1">
      <c r="A105" s="7" t="s">
        <v>59</v>
      </c>
      <c r="B105" s="7" t="s">
        <v>80</v>
      </c>
      <c r="C105" s="7" t="s">
        <v>181</v>
      </c>
      <c r="D105" s="13">
        <v>14247.0</v>
      </c>
      <c r="E105" s="7" t="s">
        <v>155</v>
      </c>
      <c r="F105" s="13">
        <v>19.0</v>
      </c>
      <c r="G105" s="22" t="s">
        <v>87</v>
      </c>
      <c r="H105" s="7" t="s">
        <v>64</v>
      </c>
      <c r="I105" s="7" t="s">
        <v>65</v>
      </c>
      <c r="J105" s="7" t="s">
        <v>70</v>
      </c>
      <c r="K105" s="15">
        <v>42142.0</v>
      </c>
      <c r="L105" s="15">
        <v>32766.0</v>
      </c>
      <c r="M105" s="13">
        <v>24307.0</v>
      </c>
      <c r="N105" s="7">
        <v>11146.3</v>
      </c>
      <c r="O105" s="7"/>
      <c r="P105" s="7">
        <v>13.33</v>
      </c>
      <c r="Q105" s="7">
        <v>16719.449999999997</v>
      </c>
      <c r="R105" s="20">
        <v>0.0</v>
      </c>
      <c r="S105" s="7"/>
      <c r="T105" s="20"/>
      <c r="U105" s="16">
        <f>SUM(Template!$N105:$O105)*Template!$P105+Template!$Q105</f>
        <v>165299.629</v>
      </c>
      <c r="V105" s="17" t="str">
        <f>IF(Template!$M105="CONSELHO","N",IF(Template!$AA105="N","N1",IF(Template!$AA105="N1","N2",IF(Template!$AA105="N2","N3",IF(Template!$AA105="N3","N4",IF(Template!$AA105="N4","N5",IF(Template!$AA105="N5","N6",IF(Template!$AA105="N6","N7",IF(Template!$AA105="N7","N8",IF(Template!$AA105="N8","N9",IF(Template!$AA105="N9","N10","NA")))))))))))</f>
        <v>N2</v>
      </c>
      <c r="W105" s="17">
        <f>COUNTIF(Template!$M$3:$M$619,Template!$D105)</f>
        <v>0</v>
      </c>
      <c r="X105" s="17">
        <f>IF(Template!$F105="","",SUMIF(Template!$M$3:$M$619,Template!$D105,Template!$AC$3:$AC$619))</f>
        <v>0</v>
      </c>
      <c r="Y105" s="17" t="str">
        <f>IFERROR(VLOOKUP(Template!$M105,Template!$D$3:$G$619,MATCH("EmployeeJobTitle",Template!$D$2:$G$2,0),FALSE),"NA")</f>
        <v>DIRETOR COMERCIAL</v>
      </c>
      <c r="Z105" s="17" t="str">
        <f>IFERROR(VLOOKUP(Template!$M105,Template!$D$3:$G$619,MATCH("EmployeeGroup",Template!$D$2:$G$2,0),FALSE),"NA")</f>
        <v>Diretor</v>
      </c>
      <c r="AA105" s="17" t="str">
        <f>IFERROR(VLOOKUP(Template!$M105,Template!$D$3:$V$619,MATCH("Layer",Template!$D$2:$V$2,0),FALSE),"NA")</f>
        <v>N1</v>
      </c>
      <c r="AB105" s="21">
        <f>VLOOKUP(Template!$M105,Template!$D$3:$F$619,MATCH("InternalGrade",Template!$D$2:$F$2,0),FALSE)-Template!$F105</f>
        <v>3</v>
      </c>
      <c r="AC105" s="17">
        <f>IF(Template!$AB105&lt;=1, 0.8,IF(Template!$AB105=2,0.4,IF(Template!$AB105=3,0.2,IF(Template!$AB105=4,0.1,IF(Template!$AB105&gt;=5,0.05,"erro")))))</f>
        <v>0.2</v>
      </c>
      <c r="AD105" s="17" t="b">
        <f>Template!$D105=Template!$M105</f>
        <v>0</v>
      </c>
      <c r="AE105" s="12" t="s">
        <v>58</v>
      </c>
    </row>
    <row r="106" ht="15.75" customHeight="1">
      <c r="A106" s="7" t="s">
        <v>59</v>
      </c>
      <c r="B106" s="7" t="s">
        <v>80</v>
      </c>
      <c r="C106" s="7" t="s">
        <v>181</v>
      </c>
      <c r="D106" s="13">
        <v>24581.0</v>
      </c>
      <c r="E106" s="7" t="s">
        <v>182</v>
      </c>
      <c r="F106" s="13">
        <v>14.0</v>
      </c>
      <c r="G106" s="14" t="s">
        <v>63</v>
      </c>
      <c r="H106" s="7" t="s">
        <v>64</v>
      </c>
      <c r="I106" s="7" t="s">
        <v>65</v>
      </c>
      <c r="J106" s="7" t="s">
        <v>70</v>
      </c>
      <c r="K106" s="15">
        <v>45236.0</v>
      </c>
      <c r="L106" s="15">
        <v>37013.0</v>
      </c>
      <c r="M106" s="13">
        <v>25195.0</v>
      </c>
      <c r="N106" s="7">
        <v>3154.0</v>
      </c>
      <c r="O106" s="7"/>
      <c r="P106" s="7">
        <v>13.33</v>
      </c>
      <c r="Q106" s="7">
        <v>3154.0</v>
      </c>
      <c r="R106" s="20">
        <v>0.0</v>
      </c>
      <c r="S106" s="7"/>
      <c r="T106" s="20"/>
      <c r="U106" s="16">
        <f>SUM(Template!$N106:$O106)*Template!$P106+Template!$Q106</f>
        <v>45196.82</v>
      </c>
      <c r="V106" s="17" t="str">
        <f>IF(Template!$M106="CONSELHO","N",IF(Template!$AA106="N","N1",IF(Template!$AA106="N1","N2",IF(Template!$AA106="N2","N3",IF(Template!$AA106="N3","N4",IF(Template!$AA106="N4","N5",IF(Template!$AA106="N5","N6",IF(Template!$AA106="N6","N7",IF(Template!$AA106="N7","N8",IF(Template!$AA106="N8","N9",IF(Template!$AA106="N9","N10","NA")))))))))))</f>
        <v>N3</v>
      </c>
      <c r="W106" s="17">
        <f>COUNTIF(Template!$M$3:$M$619,Template!$D106)</f>
        <v>0</v>
      </c>
      <c r="X106" s="17">
        <f>IF(Template!$F106="","",SUMIF(Template!$M$3:$M$619,Template!$D106,Template!$AC$3:$AC$619))</f>
        <v>0</v>
      </c>
      <c r="Y106" s="17" t="str">
        <f>IFERROR(VLOOKUP(Template!$M106,Template!$D$3:$G$619,MATCH("EmployeeJobTitle",Template!$D$2:$G$2,0),FALSE),"NA")</f>
        <v>GERENTE DE EXPANSÃO, IMPLANTAÇÃO E PROJETOS</v>
      </c>
      <c r="Z106" s="17" t="str">
        <f>IFERROR(VLOOKUP(Template!$M106,Template!$D$3:$G$619,MATCH("EmployeeGroup",Template!$D$2:$G$2,0),FALSE),"NA")</f>
        <v>Gerente</v>
      </c>
      <c r="AA106" s="17" t="str">
        <f>IFERROR(VLOOKUP(Template!$M106,Template!$D$3:$V$619,MATCH("Layer",Template!$D$2:$V$2,0),FALSE),"NA")</f>
        <v>N2</v>
      </c>
      <c r="AB106" s="21">
        <f>VLOOKUP(Template!$M106,Template!$D$3:$F$619,MATCH("InternalGrade",Template!$D$2:$F$2,0),FALSE)-Template!$F106</f>
        <v>6</v>
      </c>
      <c r="AC106" s="17">
        <f>IF(Template!$AB106&lt;=1, 0.8,IF(Template!$AB106=2,0.4,IF(Template!$AB106=3,0.2,IF(Template!$AB106=4,0.1,IF(Template!$AB106&gt;=5,0.05,"erro")))))</f>
        <v>0.05</v>
      </c>
      <c r="AD106" s="17" t="b">
        <f>Template!$D106=Template!$M106</f>
        <v>0</v>
      </c>
      <c r="AE106" s="12" t="s">
        <v>58</v>
      </c>
    </row>
    <row r="107" ht="15.75" customHeight="1">
      <c r="A107" s="7" t="s">
        <v>59</v>
      </c>
      <c r="B107" s="7" t="s">
        <v>80</v>
      </c>
      <c r="C107" s="7" t="s">
        <v>181</v>
      </c>
      <c r="D107" s="13">
        <v>24325.0</v>
      </c>
      <c r="E107" s="7" t="s">
        <v>155</v>
      </c>
      <c r="F107" s="13">
        <v>19.0</v>
      </c>
      <c r="G107" s="22" t="s">
        <v>87</v>
      </c>
      <c r="H107" s="7" t="s">
        <v>64</v>
      </c>
      <c r="I107" s="7" t="s">
        <v>65</v>
      </c>
      <c r="J107" s="7" t="s">
        <v>70</v>
      </c>
      <c r="K107" s="15">
        <v>45201.0</v>
      </c>
      <c r="L107" s="15">
        <v>31223.0</v>
      </c>
      <c r="M107" s="13">
        <v>24307.0</v>
      </c>
      <c r="N107" s="7">
        <v>10000.0</v>
      </c>
      <c r="O107" s="7"/>
      <c r="P107" s="7">
        <v>13.33</v>
      </c>
      <c r="Q107" s="7">
        <v>15000.0</v>
      </c>
      <c r="R107" s="20">
        <v>0.0</v>
      </c>
      <c r="S107" s="7"/>
      <c r="T107" s="20"/>
      <c r="U107" s="16">
        <f>SUM(Template!$N107:$O107)*Template!$P107+Template!$Q107</f>
        <v>148300</v>
      </c>
      <c r="V107" s="17" t="str">
        <f>IF(Template!$M107="CONSELHO","N",IF(Template!$AA107="N","N1",IF(Template!$AA107="N1","N2",IF(Template!$AA107="N2","N3",IF(Template!$AA107="N3","N4",IF(Template!$AA107="N4","N5",IF(Template!$AA107="N5","N6",IF(Template!$AA107="N6","N7",IF(Template!$AA107="N7","N8",IF(Template!$AA107="N8","N9",IF(Template!$AA107="N9","N10","NA")))))))))))</f>
        <v>N2</v>
      </c>
      <c r="W107" s="17">
        <f>COUNTIF(Template!$M$3:$M$619,Template!$D107)</f>
        <v>0</v>
      </c>
      <c r="X107" s="17">
        <f>IF(Template!$F107="","",SUMIF(Template!$M$3:$M$619,Template!$D107,Template!$AC$3:$AC$619))</f>
        <v>0</v>
      </c>
      <c r="Y107" s="17" t="str">
        <f>IFERROR(VLOOKUP(Template!$M107,Template!$D$3:$G$619,MATCH("EmployeeJobTitle",Template!$D$2:$G$2,0),FALSE),"NA")</f>
        <v>DIRETOR COMERCIAL</v>
      </c>
      <c r="Z107" s="17" t="str">
        <f>IFERROR(VLOOKUP(Template!$M107,Template!$D$3:$G$619,MATCH("EmployeeGroup",Template!$D$2:$G$2,0),FALSE),"NA")</f>
        <v>Diretor</v>
      </c>
      <c r="AA107" s="17" t="str">
        <f>IFERROR(VLOOKUP(Template!$M107,Template!$D$3:$V$619,MATCH("Layer",Template!$D$2:$V$2,0),FALSE),"NA")</f>
        <v>N1</v>
      </c>
      <c r="AB107" s="21">
        <f>VLOOKUP(Template!$M107,Template!$D$3:$F$619,MATCH("InternalGrade",Template!$D$2:$F$2,0),FALSE)-Template!$F107</f>
        <v>3</v>
      </c>
      <c r="AC107" s="17">
        <f>IF(Template!$AB107&lt;=1, 0.8,IF(Template!$AB107=2,0.4,IF(Template!$AB107=3,0.2,IF(Template!$AB107=4,0.1,IF(Template!$AB107&gt;=5,0.05,"erro")))))</f>
        <v>0.2</v>
      </c>
      <c r="AD107" s="17" t="b">
        <f>Template!$D107=Template!$M107</f>
        <v>0</v>
      </c>
      <c r="AE107" s="12" t="s">
        <v>58</v>
      </c>
    </row>
    <row r="108" ht="15.75" customHeight="1">
      <c r="A108" s="7" t="s">
        <v>59</v>
      </c>
      <c r="B108" s="7" t="s">
        <v>80</v>
      </c>
      <c r="C108" s="7" t="s">
        <v>181</v>
      </c>
      <c r="D108" s="13">
        <v>17134.0</v>
      </c>
      <c r="E108" s="7" t="s">
        <v>183</v>
      </c>
      <c r="F108" s="13">
        <v>17.0</v>
      </c>
      <c r="G108" s="22" t="s">
        <v>87</v>
      </c>
      <c r="H108" s="7" t="s">
        <v>64</v>
      </c>
      <c r="I108" s="7" t="s">
        <v>65</v>
      </c>
      <c r="J108" s="7" t="s">
        <v>70</v>
      </c>
      <c r="K108" s="15">
        <v>43395.0</v>
      </c>
      <c r="L108" s="15">
        <v>34469.0</v>
      </c>
      <c r="M108" s="13">
        <v>25195.0</v>
      </c>
      <c r="N108" s="7">
        <v>7684.32</v>
      </c>
      <c r="O108" s="7"/>
      <c r="P108" s="7">
        <v>13.33</v>
      </c>
      <c r="Q108" s="7">
        <v>11526.48</v>
      </c>
      <c r="R108" s="20">
        <v>0.0</v>
      </c>
      <c r="S108" s="7"/>
      <c r="T108" s="20"/>
      <c r="U108" s="16">
        <f>SUM(Template!$N108:$O108)*Template!$P108+Template!$Q108</f>
        <v>113958.4656</v>
      </c>
      <c r="V108" s="17" t="str">
        <f>IF(Template!$M108="CONSELHO","N",IF(Template!$AA108="N","N1",IF(Template!$AA108="N1","N2",IF(Template!$AA108="N2","N3",IF(Template!$AA108="N3","N4",IF(Template!$AA108="N4","N5",IF(Template!$AA108="N5","N6",IF(Template!$AA108="N6","N7",IF(Template!$AA108="N7","N8",IF(Template!$AA108="N8","N9",IF(Template!$AA108="N9","N10","NA")))))))))))</f>
        <v>N3</v>
      </c>
      <c r="W108" s="17">
        <f>COUNTIF(Template!$M$3:$M$619,Template!$D108)</f>
        <v>0</v>
      </c>
      <c r="X108" s="17">
        <f>IF(Template!$F108="","",SUMIF(Template!$M$3:$M$619,Template!$D108,Template!$AC$3:$AC$619))</f>
        <v>0</v>
      </c>
      <c r="Y108" s="17" t="str">
        <f>IFERROR(VLOOKUP(Template!$M108,Template!$D$3:$G$619,MATCH("EmployeeJobTitle",Template!$D$2:$G$2,0),FALSE),"NA")</f>
        <v>GERENTE DE EXPANSÃO, IMPLANTAÇÃO E PROJETOS</v>
      </c>
      <c r="Z108" s="17" t="str">
        <f>IFERROR(VLOOKUP(Template!$M108,Template!$D$3:$G$619,MATCH("EmployeeGroup",Template!$D$2:$G$2,0),FALSE),"NA")</f>
        <v>Gerente</v>
      </c>
      <c r="AA108" s="17" t="str">
        <f>IFERROR(VLOOKUP(Template!$M108,Template!$D$3:$V$619,MATCH("Layer",Template!$D$2:$V$2,0),FALSE),"NA")</f>
        <v>N2</v>
      </c>
      <c r="AB108" s="21">
        <f>VLOOKUP(Template!$M108,Template!$D$3:$F$619,MATCH("InternalGrade",Template!$D$2:$F$2,0),FALSE)-Template!$F108</f>
        <v>3</v>
      </c>
      <c r="AC108" s="17">
        <f>IF(Template!$AB108&lt;=1, 0.8,IF(Template!$AB108=2,0.4,IF(Template!$AB108=3,0.2,IF(Template!$AB108=4,0.1,IF(Template!$AB108&gt;=5,0.05,"erro")))))</f>
        <v>0.2</v>
      </c>
      <c r="AD108" s="17" t="b">
        <f>Template!$D108=Template!$M108</f>
        <v>0</v>
      </c>
      <c r="AE108" s="12" t="s">
        <v>58</v>
      </c>
    </row>
    <row r="109" ht="15.75" customHeight="1">
      <c r="A109" s="7" t="s">
        <v>59</v>
      </c>
      <c r="B109" s="7" t="s">
        <v>80</v>
      </c>
      <c r="C109" s="7" t="s">
        <v>181</v>
      </c>
      <c r="D109" s="13">
        <v>25195.0</v>
      </c>
      <c r="E109" s="7" t="s">
        <v>184</v>
      </c>
      <c r="F109" s="13">
        <v>20.0</v>
      </c>
      <c r="G109" s="22" t="s">
        <v>111</v>
      </c>
      <c r="H109" s="7" t="s">
        <v>64</v>
      </c>
      <c r="I109" s="7" t="s">
        <v>65</v>
      </c>
      <c r="J109" s="7" t="s">
        <v>70</v>
      </c>
      <c r="K109" s="15">
        <v>45490.0</v>
      </c>
      <c r="L109" s="15">
        <v>28945.0</v>
      </c>
      <c r="M109" s="13">
        <v>24307.0</v>
      </c>
      <c r="N109" s="7">
        <v>28000.0</v>
      </c>
      <c r="O109" s="7"/>
      <c r="P109" s="7">
        <v>12.0</v>
      </c>
      <c r="Q109" s="7">
        <v>84000.0</v>
      </c>
      <c r="R109" s="20">
        <v>0.0</v>
      </c>
      <c r="S109" s="7"/>
      <c r="T109" s="20"/>
      <c r="U109" s="16">
        <f>SUM(Template!$N109:$O109)*Template!$P109+Template!$Q109</f>
        <v>420000</v>
      </c>
      <c r="V109" s="17" t="str">
        <f>IF(Template!$M109="CONSELHO","N",IF(Template!$AA109="N","N1",IF(Template!$AA109="N1","N2",IF(Template!$AA109="N2","N3",IF(Template!$AA109="N3","N4",IF(Template!$AA109="N4","N5",IF(Template!$AA109="N5","N6",IF(Template!$AA109="N6","N7",IF(Template!$AA109="N7","N8",IF(Template!$AA109="N8","N9",IF(Template!$AA109="N9","N10","NA")))))))))))</f>
        <v>N2</v>
      </c>
      <c r="W109" s="17">
        <f>COUNTIF(Template!$M$3:$M$619,Template!$D109)</f>
        <v>6</v>
      </c>
      <c r="X109" s="17">
        <f>IF(Template!$F109="","",SUMIF(Template!$M$3:$M$619,Template!$D109,Template!$AC$3:$AC$619))</f>
        <v>0.45</v>
      </c>
      <c r="Y109" s="17" t="str">
        <f>IFERROR(VLOOKUP(Template!$M109,Template!$D$3:$G$619,MATCH("EmployeeJobTitle",Template!$D$2:$G$2,0),FALSE),"NA")</f>
        <v>DIRETOR COMERCIAL</v>
      </c>
      <c r="Z109" s="17" t="str">
        <f>IFERROR(VLOOKUP(Template!$M109,Template!$D$3:$G$619,MATCH("EmployeeGroup",Template!$D$2:$G$2,0),FALSE),"NA")</f>
        <v>Diretor</v>
      </c>
      <c r="AA109" s="17" t="str">
        <f>IFERROR(VLOOKUP(Template!$M109,Template!$D$3:$V$619,MATCH("Layer",Template!$D$2:$V$2,0),FALSE),"NA")</f>
        <v>N1</v>
      </c>
      <c r="AB109" s="21">
        <f>VLOOKUP(Template!$M109,Template!$D$3:$F$619,MATCH("InternalGrade",Template!$D$2:$F$2,0),FALSE)-Template!$F109</f>
        <v>2</v>
      </c>
      <c r="AC109" s="17">
        <f>IF(Template!$AB109&lt;=1, 0.8,IF(Template!$AB109=2,0.4,IF(Template!$AB109=3,0.2,IF(Template!$AB109=4,0.1,IF(Template!$AB109&gt;=5,0.05,"erro")))))</f>
        <v>0.4</v>
      </c>
      <c r="AD109" s="17" t="b">
        <f>Template!$D109=Template!$M109</f>
        <v>0</v>
      </c>
      <c r="AE109" s="12" t="s">
        <v>58</v>
      </c>
    </row>
    <row r="110" ht="15.75" customHeight="1">
      <c r="A110" s="7" t="s">
        <v>59</v>
      </c>
      <c r="B110" s="7" t="s">
        <v>80</v>
      </c>
      <c r="C110" s="7" t="s">
        <v>181</v>
      </c>
      <c r="D110" s="13">
        <v>23253.0</v>
      </c>
      <c r="E110" s="7" t="s">
        <v>155</v>
      </c>
      <c r="F110" s="13">
        <v>19.0</v>
      </c>
      <c r="G110" s="22" t="s">
        <v>87</v>
      </c>
      <c r="H110" s="7" t="s">
        <v>64</v>
      </c>
      <c r="I110" s="7" t="s">
        <v>65</v>
      </c>
      <c r="J110" s="7" t="s">
        <v>70</v>
      </c>
      <c r="K110" s="15">
        <v>43108.0</v>
      </c>
      <c r="L110" s="15">
        <v>27870.0</v>
      </c>
      <c r="M110" s="13">
        <v>24307.0</v>
      </c>
      <c r="N110" s="7">
        <v>15418.07</v>
      </c>
      <c r="O110" s="7"/>
      <c r="P110" s="7">
        <v>12.0</v>
      </c>
      <c r="Q110" s="7">
        <v>23127.105</v>
      </c>
      <c r="R110" s="20">
        <v>0.0</v>
      </c>
      <c r="S110" s="7"/>
      <c r="T110" s="20"/>
      <c r="U110" s="16">
        <f>SUM(Template!$N110:$O110)*Template!$P110+Template!$Q110</f>
        <v>208143.945</v>
      </c>
      <c r="V110" s="17" t="str">
        <f>IF(Template!$M110="CONSELHO","N",IF(Template!$AA110="N","N1",IF(Template!$AA110="N1","N2",IF(Template!$AA110="N2","N3",IF(Template!$AA110="N3","N4",IF(Template!$AA110="N4","N5",IF(Template!$AA110="N5","N6",IF(Template!$AA110="N6","N7",IF(Template!$AA110="N7","N8",IF(Template!$AA110="N8","N9",IF(Template!$AA110="N9","N10","NA")))))))))))</f>
        <v>N2</v>
      </c>
      <c r="W110" s="17">
        <f>COUNTIF(Template!$M$3:$M$619,Template!$D110)</f>
        <v>0</v>
      </c>
      <c r="X110" s="17">
        <f>IF(Template!$F110="","",SUMIF(Template!$M$3:$M$619,Template!$D110,Template!$AC$3:$AC$619))</f>
        <v>0</v>
      </c>
      <c r="Y110" s="17" t="str">
        <f>IFERROR(VLOOKUP(Template!$M110,Template!$D$3:$G$619,MATCH("EmployeeJobTitle",Template!$D$2:$G$2,0),FALSE),"NA")</f>
        <v>DIRETOR COMERCIAL</v>
      </c>
      <c r="Z110" s="17" t="str">
        <f>IFERROR(VLOOKUP(Template!$M110,Template!$D$3:$G$619,MATCH("EmployeeGroup",Template!$D$2:$G$2,0),FALSE),"NA")</f>
        <v>Diretor</v>
      </c>
      <c r="AA110" s="17" t="str">
        <f>IFERROR(VLOOKUP(Template!$M110,Template!$D$3:$V$619,MATCH("Layer",Template!$D$2:$V$2,0),FALSE),"NA")</f>
        <v>N1</v>
      </c>
      <c r="AB110" s="21">
        <f>VLOOKUP(Template!$M110,Template!$D$3:$F$619,MATCH("InternalGrade",Template!$D$2:$F$2,0),FALSE)-Template!$F110</f>
        <v>3</v>
      </c>
      <c r="AC110" s="17">
        <f>IF(Template!$AB110&lt;=1, 0.8,IF(Template!$AB110=2,0.4,IF(Template!$AB110=3,0.2,IF(Template!$AB110=4,0.1,IF(Template!$AB110&gt;=5,0.05,"erro")))))</f>
        <v>0.2</v>
      </c>
      <c r="AD110" s="17" t="b">
        <f>Template!$D110=Template!$M110</f>
        <v>0</v>
      </c>
      <c r="AE110" s="12" t="s">
        <v>58</v>
      </c>
    </row>
    <row r="111" ht="15.75" customHeight="1">
      <c r="A111" s="7" t="s">
        <v>59</v>
      </c>
      <c r="B111" s="7" t="s">
        <v>80</v>
      </c>
      <c r="C111" s="7" t="s">
        <v>181</v>
      </c>
      <c r="D111" s="13">
        <v>23255.0</v>
      </c>
      <c r="E111" s="7" t="s">
        <v>155</v>
      </c>
      <c r="F111" s="13">
        <v>19.0</v>
      </c>
      <c r="G111" s="22" t="s">
        <v>87</v>
      </c>
      <c r="H111" s="7" t="s">
        <v>64</v>
      </c>
      <c r="I111" s="7" t="s">
        <v>65</v>
      </c>
      <c r="J111" s="7" t="s">
        <v>70</v>
      </c>
      <c r="K111" s="15">
        <v>43208.0</v>
      </c>
      <c r="L111" s="15">
        <v>28753.0</v>
      </c>
      <c r="M111" s="13">
        <v>24307.0</v>
      </c>
      <c r="N111" s="7">
        <v>11428.67</v>
      </c>
      <c r="O111" s="7"/>
      <c r="P111" s="7">
        <v>12.0</v>
      </c>
      <c r="Q111" s="7">
        <v>17143.005</v>
      </c>
      <c r="R111" s="20">
        <v>0.0</v>
      </c>
      <c r="S111" s="7"/>
      <c r="T111" s="20"/>
      <c r="U111" s="16">
        <f>SUM(Template!$N111:$O111)*Template!$P111+Template!$Q111</f>
        <v>154287.045</v>
      </c>
      <c r="V111" s="17" t="str">
        <f>IF(Template!$M111="CONSELHO","N",IF(Template!$AA111="N","N1",IF(Template!$AA111="N1","N2",IF(Template!$AA111="N2","N3",IF(Template!$AA111="N3","N4",IF(Template!$AA111="N4","N5",IF(Template!$AA111="N5","N6",IF(Template!$AA111="N6","N7",IF(Template!$AA111="N7","N8",IF(Template!$AA111="N8","N9",IF(Template!$AA111="N9","N10","NA")))))))))))</f>
        <v>N2</v>
      </c>
      <c r="W111" s="17">
        <f>COUNTIF(Template!$M$3:$M$619,Template!$D111)</f>
        <v>0</v>
      </c>
      <c r="X111" s="17">
        <f>IF(Template!$F111="","",SUMIF(Template!$M$3:$M$619,Template!$D111,Template!$AC$3:$AC$619))</f>
        <v>0</v>
      </c>
      <c r="Y111" s="17" t="str">
        <f>IFERROR(VLOOKUP(Template!$M111,Template!$D$3:$G$619,MATCH("EmployeeJobTitle",Template!$D$2:$G$2,0),FALSE),"NA")</f>
        <v>DIRETOR COMERCIAL</v>
      </c>
      <c r="Z111" s="17" t="str">
        <f>IFERROR(VLOOKUP(Template!$M111,Template!$D$3:$G$619,MATCH("EmployeeGroup",Template!$D$2:$G$2,0),FALSE),"NA")</f>
        <v>Diretor</v>
      </c>
      <c r="AA111" s="17" t="str">
        <f>IFERROR(VLOOKUP(Template!$M111,Template!$D$3:$V$619,MATCH("Layer",Template!$D$2:$V$2,0),FALSE),"NA")</f>
        <v>N1</v>
      </c>
      <c r="AB111" s="21">
        <f>VLOOKUP(Template!$M111,Template!$D$3:$F$619,MATCH("InternalGrade",Template!$D$2:$F$2,0),FALSE)-Template!$F111</f>
        <v>3</v>
      </c>
      <c r="AC111" s="17">
        <f>IF(Template!$AB111&lt;=1, 0.8,IF(Template!$AB111=2,0.4,IF(Template!$AB111=3,0.2,IF(Template!$AB111=4,0.1,IF(Template!$AB111&gt;=5,0.05,"erro")))))</f>
        <v>0.2</v>
      </c>
      <c r="AD111" s="17" t="b">
        <f>Template!$D111=Template!$M111</f>
        <v>0</v>
      </c>
      <c r="AE111" s="12" t="s">
        <v>58</v>
      </c>
    </row>
    <row r="112" ht="15.75" customHeight="1">
      <c r="A112" s="7" t="s">
        <v>59</v>
      </c>
      <c r="B112" s="7" t="s">
        <v>71</v>
      </c>
      <c r="C112" s="7" t="s">
        <v>185</v>
      </c>
      <c r="D112" s="13">
        <v>20559.0</v>
      </c>
      <c r="E112" s="7" t="s">
        <v>186</v>
      </c>
      <c r="F112" s="13">
        <v>15.0</v>
      </c>
      <c r="G112" s="14" t="s">
        <v>63</v>
      </c>
      <c r="H112" s="7" t="s">
        <v>64</v>
      </c>
      <c r="I112" s="7" t="s">
        <v>65</v>
      </c>
      <c r="J112" s="7" t="s">
        <v>70</v>
      </c>
      <c r="K112" s="15">
        <v>44699.0</v>
      </c>
      <c r="L112" s="15">
        <v>31751.0</v>
      </c>
      <c r="M112" s="13">
        <v>10503.0</v>
      </c>
      <c r="N112" s="7">
        <v>4026.25</v>
      </c>
      <c r="O112" s="7"/>
      <c r="P112" s="7">
        <v>13.33</v>
      </c>
      <c r="Q112" s="7">
        <v>4026.25</v>
      </c>
      <c r="R112" s="20">
        <v>0.0</v>
      </c>
      <c r="S112" s="7"/>
      <c r="T112" s="20"/>
      <c r="U112" s="16">
        <f>SUM(Template!$N112:$O112)*Template!$P112+Template!$Q112</f>
        <v>57696.1625</v>
      </c>
      <c r="V112" s="17" t="str">
        <f>IF(Template!$M112="CONSELHO","N",IF(Template!$AA112="N","N1",IF(Template!$AA112="N1","N2",IF(Template!$AA112="N2","N3",IF(Template!$AA112="N3","N4",IF(Template!$AA112="N4","N5",IF(Template!$AA112="N5","N6",IF(Template!$AA112="N6","N7",IF(Template!$AA112="N7","N8",IF(Template!$AA112="N8","N9",IF(Template!$AA112="N9","N10","NA")))))))))))</f>
        <v>N3</v>
      </c>
      <c r="W112" s="17">
        <f>COUNTIF(Template!$M$3:$M$619,Template!$D112)</f>
        <v>0</v>
      </c>
      <c r="X112" s="17">
        <f>IF(Template!$F112="","",SUMIF(Template!$M$3:$M$619,Template!$D112,Template!$AC$3:$AC$619))</f>
        <v>0</v>
      </c>
      <c r="Y112" s="17" t="str">
        <f>IFERROR(VLOOKUP(Template!$M112,Template!$D$3:$G$619,MATCH("EmployeeJobTitle",Template!$D$2:$G$2,0),FALSE),"NA")</f>
        <v>COORDENADOR DE LOGISTICA</v>
      </c>
      <c r="Z112" s="17" t="str">
        <f>IFERROR(VLOOKUP(Template!$M112,Template!$D$3:$G$619,MATCH("EmployeeGroup",Template!$D$2:$G$2,0),FALSE),"NA")</f>
        <v>Coordenador</v>
      </c>
      <c r="AA112" s="17" t="str">
        <f>IFERROR(VLOOKUP(Template!$M112,Template!$D$3:$V$619,MATCH("Layer",Template!$D$2:$V$2,0),FALSE),"NA")</f>
        <v>N2</v>
      </c>
      <c r="AB112" s="21">
        <f>VLOOKUP(Template!$M112,Template!$D$3:$F$619,MATCH("InternalGrade",Template!$D$2:$F$2,0),FALSE)-Template!$F112</f>
        <v>3</v>
      </c>
      <c r="AC112" s="17">
        <f>IF(Template!$AB112&lt;=1, 0.8,IF(Template!$AB112=2,0.4,IF(Template!$AB112=3,0.2,IF(Template!$AB112=4,0.1,IF(Template!$AB112&gt;=5,0.05,"erro")))))</f>
        <v>0.2</v>
      </c>
      <c r="AD112" s="17" t="b">
        <f>Template!$D112=Template!$M112</f>
        <v>0</v>
      </c>
      <c r="AE112" s="12" t="s">
        <v>58</v>
      </c>
    </row>
    <row r="113" ht="15.75" customHeight="1">
      <c r="A113" s="7" t="s">
        <v>59</v>
      </c>
      <c r="B113" s="7" t="s">
        <v>71</v>
      </c>
      <c r="C113" s="7" t="s">
        <v>185</v>
      </c>
      <c r="D113" s="13">
        <v>24205.0</v>
      </c>
      <c r="E113" s="7" t="s">
        <v>187</v>
      </c>
      <c r="F113" s="13">
        <v>16.0</v>
      </c>
      <c r="G113" s="14" t="s">
        <v>63</v>
      </c>
      <c r="H113" s="7" t="s">
        <v>64</v>
      </c>
      <c r="I113" s="7" t="s">
        <v>65</v>
      </c>
      <c r="J113" s="7" t="s">
        <v>70</v>
      </c>
      <c r="K113" s="15">
        <v>45145.0</v>
      </c>
      <c r="L113" s="15">
        <v>30583.0</v>
      </c>
      <c r="M113" s="13">
        <v>10503.0</v>
      </c>
      <c r="N113" s="7">
        <v>4684.0</v>
      </c>
      <c r="O113" s="7"/>
      <c r="P113" s="7">
        <v>13.33</v>
      </c>
      <c r="Q113" s="7">
        <v>4684.0</v>
      </c>
      <c r="R113" s="20">
        <v>0.0</v>
      </c>
      <c r="S113" s="7"/>
      <c r="T113" s="20"/>
      <c r="U113" s="16">
        <f>SUM(Template!$N113:$O113)*Template!$P113+Template!$Q113</f>
        <v>67121.72</v>
      </c>
      <c r="V113" s="17" t="str">
        <f>IF(Template!$M113="CONSELHO","N",IF(Template!$AA113="N","N1",IF(Template!$AA113="N1","N2",IF(Template!$AA113="N2","N3",IF(Template!$AA113="N3","N4",IF(Template!$AA113="N4","N5",IF(Template!$AA113="N5","N6",IF(Template!$AA113="N6","N7",IF(Template!$AA113="N7","N8",IF(Template!$AA113="N8","N9",IF(Template!$AA113="N9","N10","NA")))))))))))</f>
        <v>N3</v>
      </c>
      <c r="W113" s="17">
        <f>COUNTIF(Template!$M$3:$M$619,Template!$D113)</f>
        <v>0</v>
      </c>
      <c r="X113" s="17">
        <f>IF(Template!$F113="","",SUMIF(Template!$M$3:$M$619,Template!$D113,Template!$AC$3:$AC$619))</f>
        <v>0</v>
      </c>
      <c r="Y113" s="17" t="str">
        <f>IFERROR(VLOOKUP(Template!$M113,Template!$D$3:$G$619,MATCH("EmployeeJobTitle",Template!$D$2:$G$2,0),FALSE),"NA")</f>
        <v>COORDENADOR DE LOGISTICA</v>
      </c>
      <c r="Z113" s="17" t="str">
        <f>IFERROR(VLOOKUP(Template!$M113,Template!$D$3:$G$619,MATCH("EmployeeGroup",Template!$D$2:$G$2,0),FALSE),"NA")</f>
        <v>Coordenador</v>
      </c>
      <c r="AA113" s="17" t="str">
        <f>IFERROR(VLOOKUP(Template!$M113,Template!$D$3:$V$619,MATCH("Layer",Template!$D$2:$V$2,0),FALSE),"NA")</f>
        <v>N2</v>
      </c>
      <c r="AB113" s="21">
        <f>VLOOKUP(Template!$M113,Template!$D$3:$F$619,MATCH("InternalGrade",Template!$D$2:$F$2,0),FALSE)-Template!$F113</f>
        <v>2</v>
      </c>
      <c r="AC113" s="17">
        <f>IF(Template!$AB113&lt;=1, 0.8,IF(Template!$AB113=2,0.4,IF(Template!$AB113=3,0.2,IF(Template!$AB113=4,0.1,IF(Template!$AB113&gt;=5,0.05,"erro")))))</f>
        <v>0.4</v>
      </c>
      <c r="AD113" s="17" t="b">
        <f>Template!$D113=Template!$M113</f>
        <v>0</v>
      </c>
      <c r="AE113" s="12" t="s">
        <v>58</v>
      </c>
    </row>
    <row r="114" ht="15.75" customHeight="1">
      <c r="A114" s="7" t="s">
        <v>59</v>
      </c>
      <c r="B114" s="7" t="s">
        <v>71</v>
      </c>
      <c r="C114" s="7" t="s">
        <v>185</v>
      </c>
      <c r="D114" s="13">
        <v>25140.0</v>
      </c>
      <c r="E114" s="7" t="s">
        <v>186</v>
      </c>
      <c r="F114" s="13">
        <v>15.0</v>
      </c>
      <c r="G114" s="14" t="s">
        <v>63</v>
      </c>
      <c r="H114" s="7" t="s">
        <v>64</v>
      </c>
      <c r="I114" s="7" t="s">
        <v>65</v>
      </c>
      <c r="J114" s="7" t="s">
        <v>70</v>
      </c>
      <c r="K114" s="15">
        <v>45467.0</v>
      </c>
      <c r="L114" s="15">
        <v>32084.0</v>
      </c>
      <c r="M114" s="13">
        <v>10503.0</v>
      </c>
      <c r="N114" s="7">
        <v>4500.0</v>
      </c>
      <c r="O114" s="7"/>
      <c r="P114" s="7">
        <v>13.33</v>
      </c>
      <c r="Q114" s="7">
        <v>4500.0</v>
      </c>
      <c r="R114" s="20">
        <v>0.0</v>
      </c>
      <c r="S114" s="7"/>
      <c r="T114" s="20"/>
      <c r="U114" s="16">
        <f>SUM(Template!$N114:$O114)*Template!$P114+Template!$Q114</f>
        <v>64485</v>
      </c>
      <c r="V114" s="17" t="str">
        <f>IF(Template!$M114="CONSELHO","N",IF(Template!$AA114="N","N1",IF(Template!$AA114="N1","N2",IF(Template!$AA114="N2","N3",IF(Template!$AA114="N3","N4",IF(Template!$AA114="N4","N5",IF(Template!$AA114="N5","N6",IF(Template!$AA114="N6","N7",IF(Template!$AA114="N7","N8",IF(Template!$AA114="N8","N9",IF(Template!$AA114="N9","N10","NA")))))))))))</f>
        <v>N3</v>
      </c>
      <c r="W114" s="17">
        <f>COUNTIF(Template!$M$3:$M$619,Template!$D114)</f>
        <v>0</v>
      </c>
      <c r="X114" s="17">
        <f>IF(Template!$F114="","",SUMIF(Template!$M$3:$M$619,Template!$D114,Template!$AC$3:$AC$619))</f>
        <v>0</v>
      </c>
      <c r="Y114" s="17" t="str">
        <f>IFERROR(VLOOKUP(Template!$M114,Template!$D$3:$G$619,MATCH("EmployeeJobTitle",Template!$D$2:$G$2,0),FALSE),"NA")</f>
        <v>COORDENADOR DE LOGISTICA</v>
      </c>
      <c r="Z114" s="17" t="str">
        <f>IFERROR(VLOOKUP(Template!$M114,Template!$D$3:$G$619,MATCH("EmployeeGroup",Template!$D$2:$G$2,0),FALSE),"NA")</f>
        <v>Coordenador</v>
      </c>
      <c r="AA114" s="17" t="str">
        <f>IFERROR(VLOOKUP(Template!$M114,Template!$D$3:$V$619,MATCH("Layer",Template!$D$2:$V$2,0),FALSE),"NA")</f>
        <v>N2</v>
      </c>
      <c r="AB114" s="21">
        <f>VLOOKUP(Template!$M114,Template!$D$3:$F$619,MATCH("InternalGrade",Template!$D$2:$F$2,0),FALSE)-Template!$F114</f>
        <v>3</v>
      </c>
      <c r="AC114" s="17">
        <f>IF(Template!$AB114&lt;=1, 0.8,IF(Template!$AB114=2,0.4,IF(Template!$AB114=3,0.2,IF(Template!$AB114=4,0.1,IF(Template!$AB114&gt;=5,0.05,"erro")))))</f>
        <v>0.2</v>
      </c>
      <c r="AD114" s="17" t="b">
        <f>Template!$D114=Template!$M114</f>
        <v>0</v>
      </c>
      <c r="AE114" s="12" t="s">
        <v>58</v>
      </c>
    </row>
    <row r="115" ht="15.75" customHeight="1">
      <c r="A115" s="7" t="s">
        <v>59</v>
      </c>
      <c r="B115" s="7" t="s">
        <v>71</v>
      </c>
      <c r="C115" s="7" t="s">
        <v>185</v>
      </c>
      <c r="D115" s="13">
        <v>10503.0</v>
      </c>
      <c r="E115" s="7" t="s">
        <v>188</v>
      </c>
      <c r="F115" s="13">
        <v>18.0</v>
      </c>
      <c r="G115" s="22" t="s">
        <v>87</v>
      </c>
      <c r="H115" s="7" t="s">
        <v>64</v>
      </c>
      <c r="I115" s="7" t="s">
        <v>65</v>
      </c>
      <c r="J115" s="7" t="s">
        <v>70</v>
      </c>
      <c r="K115" s="15">
        <v>40626.0</v>
      </c>
      <c r="L115" s="15">
        <v>27906.0</v>
      </c>
      <c r="M115" s="13">
        <v>23261.0</v>
      </c>
      <c r="N115" s="7">
        <v>15397.2</v>
      </c>
      <c r="O115" s="7"/>
      <c r="P115" s="7">
        <v>13.33</v>
      </c>
      <c r="Q115" s="7">
        <v>23095.800000000003</v>
      </c>
      <c r="R115" s="20">
        <v>0.0</v>
      </c>
      <c r="S115" s="7"/>
      <c r="T115" s="20"/>
      <c r="U115" s="16">
        <f>SUM(Template!$N115:$O115)*Template!$P115+Template!$Q115</f>
        <v>228340.476</v>
      </c>
      <c r="V115" s="17" t="str">
        <f>IF(Template!$M115="CONSELHO","N",IF(Template!$AA115="N","N1",IF(Template!$AA115="N1","N2",IF(Template!$AA115="N2","N3",IF(Template!$AA115="N3","N4",IF(Template!$AA115="N4","N5",IF(Template!$AA115="N5","N6",IF(Template!$AA115="N6","N7",IF(Template!$AA115="N7","N8",IF(Template!$AA115="N8","N9",IF(Template!$AA115="N9","N10","NA")))))))))))</f>
        <v>N2</v>
      </c>
      <c r="W115" s="17">
        <f>COUNTIF(Template!$M$3:$M$619,Template!$D115)</f>
        <v>3</v>
      </c>
      <c r="X115" s="17">
        <f>IF(Template!$F115="","",SUMIF(Template!$M$3:$M$619,Template!$D115,Template!$AC$3:$AC$619))</f>
        <v>0.8</v>
      </c>
      <c r="Y115" s="17" t="str">
        <f>IFERROR(VLOOKUP(Template!$M115,Template!$D$3:$G$619,MATCH("EmployeeJobTitle",Template!$D$2:$G$2,0),FALSE),"NA")</f>
        <v>DIRETORA DE COMPRAS E LOGISTICA</v>
      </c>
      <c r="Z115" s="17" t="str">
        <f>IFERROR(VLOOKUP(Template!$M115,Template!$D$3:$G$619,MATCH("EmployeeGroup",Template!$D$2:$G$2,0),FALSE),"NA")</f>
        <v>Diretor</v>
      </c>
      <c r="AA115" s="17" t="str">
        <f>IFERROR(VLOOKUP(Template!$M115,Template!$D$3:$V$619,MATCH("Layer",Template!$D$2:$V$2,0),FALSE),"NA")</f>
        <v>N1</v>
      </c>
      <c r="AB115" s="21">
        <f>VLOOKUP(Template!$M115,Template!$D$3:$F$619,MATCH("InternalGrade",Template!$D$2:$F$2,0),FALSE)-Template!$F115</f>
        <v>3</v>
      </c>
      <c r="AC115" s="17">
        <f>IF(Template!$AB115&lt;=1, 0.8,IF(Template!$AB115=2,0.4,IF(Template!$AB115=3,0.2,IF(Template!$AB115=4,0.1,IF(Template!$AB115&gt;=5,0.05,"erro")))))</f>
        <v>0.2</v>
      </c>
      <c r="AD115" s="17" t="b">
        <f>Template!$D115=Template!$M115</f>
        <v>0</v>
      </c>
      <c r="AE115" s="12" t="s">
        <v>58</v>
      </c>
    </row>
    <row r="116" ht="15.75" customHeight="1">
      <c r="A116" s="7" t="s">
        <v>59</v>
      </c>
      <c r="B116" s="7" t="s">
        <v>60</v>
      </c>
      <c r="C116" s="7" t="s">
        <v>101</v>
      </c>
      <c r="D116" s="13">
        <v>14066.0</v>
      </c>
      <c r="E116" s="7" t="s">
        <v>189</v>
      </c>
      <c r="F116" s="13">
        <v>19.0</v>
      </c>
      <c r="G116" s="22" t="s">
        <v>111</v>
      </c>
      <c r="H116" s="7" t="s">
        <v>64</v>
      </c>
      <c r="I116" s="7" t="s">
        <v>65</v>
      </c>
      <c r="J116" s="7" t="s">
        <v>70</v>
      </c>
      <c r="K116" s="15">
        <v>42037.0</v>
      </c>
      <c r="L116" s="15">
        <v>29374.0</v>
      </c>
      <c r="M116" s="13">
        <v>23257.0</v>
      </c>
      <c r="N116" s="7">
        <v>22000.0</v>
      </c>
      <c r="O116" s="7"/>
      <c r="P116" s="7">
        <v>12.0</v>
      </c>
      <c r="Q116" s="7">
        <v>66000.0</v>
      </c>
      <c r="R116" s="20">
        <v>24501.0</v>
      </c>
      <c r="S116" s="7"/>
      <c r="T116" s="20"/>
      <c r="U116" s="16">
        <f>SUM(Template!$N116:$O116)*Template!$P116+Template!$Q116</f>
        <v>330000</v>
      </c>
      <c r="V116" s="17" t="str">
        <f>IF(Template!$M116="CONSELHO","N",IF(Template!$AA116="N","N1",IF(Template!$AA116="N1","N2",IF(Template!$AA116="N2","N3",IF(Template!$AA116="N3","N4",IF(Template!$AA116="N4","N5",IF(Template!$AA116="N5","N6",IF(Template!$AA116="N6","N7",IF(Template!$AA116="N7","N8",IF(Template!$AA116="N8","N9",IF(Template!$AA116="N9","N10","NA")))))))))))</f>
        <v>N2</v>
      </c>
      <c r="W116" s="17">
        <f>COUNTIF(Template!$M$3:$M$619,Template!$D116)</f>
        <v>2</v>
      </c>
      <c r="X116" s="17">
        <f>IF(Template!$F116="","",SUMIF(Template!$M$3:$M$619,Template!$D116,Template!$AC$3:$AC$619))</f>
        <v>0.15</v>
      </c>
      <c r="Y116" s="17" t="str">
        <f>IFERROR(VLOOKUP(Template!$M116,Template!$D$3:$G$619,MATCH("EmployeeJobTitle",Template!$D$2:$G$2,0),FALSE),"NA")</f>
        <v>DIRETOR FINANCEIRO</v>
      </c>
      <c r="Z116" s="17" t="str">
        <f>IFERROR(VLOOKUP(Template!$M116,Template!$D$3:$G$619,MATCH("EmployeeGroup",Template!$D$2:$G$2,0),FALSE),"NA")</f>
        <v>Diretor</v>
      </c>
      <c r="AA116" s="17" t="str">
        <f>IFERROR(VLOOKUP(Template!$M116,Template!$D$3:$V$619,MATCH("Layer",Template!$D$2:$V$2,0),FALSE),"NA")</f>
        <v>N1</v>
      </c>
      <c r="AB116" s="21">
        <f>VLOOKUP(Template!$M116,Template!$D$3:$F$619,MATCH("InternalGrade",Template!$D$2:$F$2,0),FALSE)-Template!$F116</f>
        <v>3</v>
      </c>
      <c r="AC116" s="17">
        <f>IF(Template!$AB116&lt;=1, 0.8,IF(Template!$AB116=2,0.4,IF(Template!$AB116=3,0.2,IF(Template!$AB116=4,0.1,IF(Template!$AB116&gt;=5,0.05,"erro")))))</f>
        <v>0.2</v>
      </c>
      <c r="AD116" s="17" t="b">
        <f>Template!$D116=Template!$M116</f>
        <v>0</v>
      </c>
      <c r="AE116" s="12" t="s">
        <v>58</v>
      </c>
    </row>
    <row r="117" ht="15.75" customHeight="1">
      <c r="A117" s="7" t="s">
        <v>190</v>
      </c>
      <c r="B117" s="7" t="s">
        <v>191</v>
      </c>
      <c r="C117" s="7" t="s">
        <v>192</v>
      </c>
      <c r="D117" s="13">
        <v>25445.0</v>
      </c>
      <c r="E117" s="7" t="s">
        <v>193</v>
      </c>
      <c r="F117" s="13"/>
      <c r="G117" s="14" t="s">
        <v>63</v>
      </c>
      <c r="H117" s="7" t="s">
        <v>194</v>
      </c>
      <c r="I117" s="7" t="s">
        <v>195</v>
      </c>
      <c r="J117" s="7" t="s">
        <v>70</v>
      </c>
      <c r="K117" s="15">
        <v>45579.0</v>
      </c>
      <c r="L117" s="15">
        <v>34816.0</v>
      </c>
      <c r="M117" s="13">
        <v>14002.0</v>
      </c>
      <c r="N117" s="7"/>
      <c r="O117" s="7"/>
      <c r="P117" s="7">
        <v>13.33</v>
      </c>
      <c r="Q117" s="7"/>
      <c r="R117" s="20"/>
      <c r="S117" s="7"/>
      <c r="T117" s="20"/>
      <c r="U117" s="16">
        <f>SUM(Template!$N117:$O117)*Template!$P117+Template!$Q117</f>
        <v>0</v>
      </c>
      <c r="V117" s="17" t="str">
        <f>IF(Template!$M117="CONSELHO","N",IF(Template!$AA117="N","N1",IF(Template!$AA117="N1","N2",IF(Template!$AA117="N2","N3",IF(Template!$AA117="N3","N4",IF(Template!$AA117="N4","N5",IF(Template!$AA117="N5","N6",IF(Template!$AA117="N6","N7",IF(Template!$AA117="N7","N8",IF(Template!$AA117="N8","N9",IF(Template!$AA117="N9","N10","NA")))))))))))</f>
        <v>N4</v>
      </c>
      <c r="W117" s="17">
        <f>COUNTIF(Template!$M$3:$M$619,Template!$D117)</f>
        <v>0</v>
      </c>
      <c r="X117" s="17" t="str">
        <f>IF(Template!$F117="","",SUMIF(Template!$M$3:$M$619,Template!$D117,Template!$AC$3:$AC$619))</f>
        <v/>
      </c>
      <c r="Y117" s="17" t="str">
        <f>IFERROR(VLOOKUP(Template!$M117,Template!$D$3:$G$619,MATCH("EmployeeJobTitle",Template!$D$2:$G$2,0),FALSE),"NA")</f>
        <v>GERENTE DE LOJA</v>
      </c>
      <c r="Z117" s="17" t="str">
        <f>IFERROR(VLOOKUP(Template!$M117,Template!$D$3:$G$619,MATCH("EmployeeGroup",Template!$D$2:$G$2,0),FALSE),"NA")</f>
        <v>GERENTE</v>
      </c>
      <c r="AA117" s="17" t="str">
        <f>IFERROR(VLOOKUP(Template!$M117,Template!$D$3:$V$619,MATCH("Layer",Template!$D$2:$V$2,0),FALSE),"NA")</f>
        <v>N3</v>
      </c>
      <c r="AB117" s="21">
        <f>VLOOKUP(Template!$M117,Template!$D$3:$F$619,MATCH("InternalGrade",Template!$D$2:$F$2,0),FALSE)-Template!$F117</f>
        <v>0</v>
      </c>
      <c r="AC117" s="17">
        <f>IF(Template!$AB117&lt;=1, 0.8,IF(Template!$AB117=2,0.4,IF(Template!$AB117=3,0.2,IF(Template!$AB117=4,0.1,IF(Template!$AB117&gt;=5,0.05,"erro")))))</f>
        <v>0.8</v>
      </c>
      <c r="AD117" s="17" t="b">
        <f>Template!$D117=Template!$M117</f>
        <v>0</v>
      </c>
      <c r="AE117" s="12" t="s">
        <v>58</v>
      </c>
    </row>
    <row r="118" ht="15.75" customHeight="1">
      <c r="A118" s="7" t="s">
        <v>190</v>
      </c>
      <c r="B118" s="7" t="s">
        <v>191</v>
      </c>
      <c r="C118" s="7" t="s">
        <v>192</v>
      </c>
      <c r="D118" s="13">
        <v>25451.0</v>
      </c>
      <c r="E118" s="7" t="s">
        <v>193</v>
      </c>
      <c r="F118" s="13"/>
      <c r="G118" s="14" t="s">
        <v>63</v>
      </c>
      <c r="H118" s="7" t="s">
        <v>194</v>
      </c>
      <c r="I118" s="7" t="s">
        <v>195</v>
      </c>
      <c r="J118" s="7" t="s">
        <v>70</v>
      </c>
      <c r="K118" s="15">
        <v>45579.0</v>
      </c>
      <c r="L118" s="15">
        <v>35752.0</v>
      </c>
      <c r="M118" s="13">
        <v>14002.0</v>
      </c>
      <c r="N118" s="7"/>
      <c r="O118" s="7"/>
      <c r="P118" s="7">
        <v>13.33</v>
      </c>
      <c r="Q118" s="7"/>
      <c r="R118" s="20"/>
      <c r="S118" s="7"/>
      <c r="T118" s="20"/>
      <c r="U118" s="16">
        <f>SUM(Template!$N118:$O118)*Template!$P118+Template!$Q118</f>
        <v>0</v>
      </c>
      <c r="V118" s="17" t="str">
        <f>IF(Template!$M118="CONSELHO","N",IF(Template!$AA118="N","N1",IF(Template!$AA118="N1","N2",IF(Template!$AA118="N2","N3",IF(Template!$AA118="N3","N4",IF(Template!$AA118="N4","N5",IF(Template!$AA118="N5","N6",IF(Template!$AA118="N6","N7",IF(Template!$AA118="N7","N8",IF(Template!$AA118="N8","N9",IF(Template!$AA118="N9","N10","NA")))))))))))</f>
        <v>N4</v>
      </c>
      <c r="W118" s="17">
        <f>COUNTIF(Template!$M$3:$M$619,Template!$D118)</f>
        <v>0</v>
      </c>
      <c r="X118" s="17" t="str">
        <f>IF(Template!$F118="","",SUMIF(Template!$M$3:$M$619,Template!$D118,Template!$AC$3:$AC$619))</f>
        <v/>
      </c>
      <c r="Y118" s="17" t="str">
        <f>IFERROR(VLOOKUP(Template!$M118,Template!$D$3:$G$619,MATCH("EmployeeJobTitle",Template!$D$2:$G$2,0),FALSE),"NA")</f>
        <v>GERENTE DE LOJA</v>
      </c>
      <c r="Z118" s="17" t="str">
        <f>IFERROR(VLOOKUP(Template!$M118,Template!$D$3:$G$619,MATCH("EmployeeGroup",Template!$D$2:$G$2,0),FALSE),"NA")</f>
        <v>GERENTE</v>
      </c>
      <c r="AA118" s="17" t="str">
        <f>IFERROR(VLOOKUP(Template!$M118,Template!$D$3:$V$619,MATCH("Layer",Template!$D$2:$V$2,0),FALSE),"NA")</f>
        <v>N3</v>
      </c>
      <c r="AB118" s="21">
        <f>VLOOKUP(Template!$M118,Template!$D$3:$F$619,MATCH("InternalGrade",Template!$D$2:$F$2,0),FALSE)-Template!$F118</f>
        <v>0</v>
      </c>
      <c r="AC118" s="17">
        <f>IF(Template!$AB118&lt;=1, 0.8,IF(Template!$AB118=2,0.4,IF(Template!$AB118=3,0.2,IF(Template!$AB118=4,0.1,IF(Template!$AB118&gt;=5,0.05,"erro")))))</f>
        <v>0.8</v>
      </c>
      <c r="AD118" s="17" t="b">
        <f>Template!$D118=Template!$M118</f>
        <v>0</v>
      </c>
      <c r="AE118" s="12" t="s">
        <v>58</v>
      </c>
    </row>
    <row r="119" ht="15.75" customHeight="1">
      <c r="A119" s="7" t="s">
        <v>190</v>
      </c>
      <c r="B119" s="7" t="s">
        <v>191</v>
      </c>
      <c r="C119" s="7" t="s">
        <v>192</v>
      </c>
      <c r="D119" s="13">
        <v>24389.0</v>
      </c>
      <c r="E119" s="7" t="s">
        <v>193</v>
      </c>
      <c r="F119" s="13"/>
      <c r="G119" s="14" t="s">
        <v>63</v>
      </c>
      <c r="H119" s="7" t="s">
        <v>194</v>
      </c>
      <c r="I119" s="7" t="s">
        <v>195</v>
      </c>
      <c r="J119" s="7" t="s">
        <v>70</v>
      </c>
      <c r="K119" s="15">
        <v>45219.0</v>
      </c>
      <c r="L119" s="15">
        <v>34108.0</v>
      </c>
      <c r="M119" s="13">
        <v>14002.0</v>
      </c>
      <c r="N119" s="7"/>
      <c r="O119" s="7"/>
      <c r="P119" s="7">
        <v>13.33</v>
      </c>
      <c r="Q119" s="7"/>
      <c r="R119" s="20"/>
      <c r="S119" s="7"/>
      <c r="T119" s="20"/>
      <c r="U119" s="16">
        <f>SUM(Template!$N119:$O119)*Template!$P119+Template!$Q119</f>
        <v>0</v>
      </c>
      <c r="V119" s="17" t="str">
        <f>IF(Template!$M119="CONSELHO","N",IF(Template!$AA119="N","N1",IF(Template!$AA119="N1","N2",IF(Template!$AA119="N2","N3",IF(Template!$AA119="N3","N4",IF(Template!$AA119="N4","N5",IF(Template!$AA119="N5","N6",IF(Template!$AA119="N6","N7",IF(Template!$AA119="N7","N8",IF(Template!$AA119="N8","N9",IF(Template!$AA119="N9","N10","NA")))))))))))</f>
        <v>N4</v>
      </c>
      <c r="W119" s="17">
        <f>COUNTIF(Template!$M$3:$M$619,Template!$D119)</f>
        <v>0</v>
      </c>
      <c r="X119" s="17" t="str">
        <f>IF(Template!$F119="","",SUMIF(Template!$M$3:$M$619,Template!$D119,Template!$AC$3:$AC$619))</f>
        <v/>
      </c>
      <c r="Y119" s="17" t="str">
        <f>IFERROR(VLOOKUP(Template!$M119,Template!$D$3:$G$619,MATCH("EmployeeJobTitle",Template!$D$2:$G$2,0),FALSE),"NA")</f>
        <v>GERENTE DE LOJA</v>
      </c>
      <c r="Z119" s="17" t="str">
        <f>IFERROR(VLOOKUP(Template!$M119,Template!$D$3:$G$619,MATCH("EmployeeGroup",Template!$D$2:$G$2,0),FALSE),"NA")</f>
        <v>GERENTE</v>
      </c>
      <c r="AA119" s="17" t="str">
        <f>IFERROR(VLOOKUP(Template!$M119,Template!$D$3:$V$619,MATCH("Layer",Template!$D$2:$V$2,0),FALSE),"NA")</f>
        <v>N3</v>
      </c>
      <c r="AB119" s="21">
        <f>VLOOKUP(Template!$M119,Template!$D$3:$F$619,MATCH("InternalGrade",Template!$D$2:$F$2,0),FALSE)-Template!$F119</f>
        <v>0</v>
      </c>
      <c r="AC119" s="17">
        <f>IF(Template!$AB119&lt;=1, 0.8,IF(Template!$AB119=2,0.4,IF(Template!$AB119=3,0.2,IF(Template!$AB119=4,0.1,IF(Template!$AB119&gt;=5,0.05,"erro")))))</f>
        <v>0.8</v>
      </c>
      <c r="AD119" s="17" t="b">
        <f>Template!$D119=Template!$M119</f>
        <v>0</v>
      </c>
      <c r="AE119" s="12" t="s">
        <v>58</v>
      </c>
    </row>
    <row r="120" ht="15.75" customHeight="1">
      <c r="A120" s="7" t="s">
        <v>190</v>
      </c>
      <c r="B120" s="7" t="s">
        <v>191</v>
      </c>
      <c r="C120" s="7" t="s">
        <v>192</v>
      </c>
      <c r="D120" s="13">
        <v>24184.0</v>
      </c>
      <c r="E120" s="7" t="s">
        <v>193</v>
      </c>
      <c r="F120" s="13"/>
      <c r="G120" s="14" t="s">
        <v>63</v>
      </c>
      <c r="H120" s="7" t="s">
        <v>194</v>
      </c>
      <c r="I120" s="7" t="s">
        <v>195</v>
      </c>
      <c r="J120" s="7" t="s">
        <v>70</v>
      </c>
      <c r="K120" s="15">
        <v>45139.0</v>
      </c>
      <c r="L120" s="15">
        <v>32774.0</v>
      </c>
      <c r="M120" s="13">
        <v>14002.0</v>
      </c>
      <c r="N120" s="7"/>
      <c r="O120" s="7"/>
      <c r="P120" s="7">
        <v>13.33</v>
      </c>
      <c r="Q120" s="7"/>
      <c r="R120" s="20"/>
      <c r="S120" s="7"/>
      <c r="T120" s="20"/>
      <c r="U120" s="16">
        <f>SUM(Template!$N120:$O120)*Template!$P120+Template!$Q120</f>
        <v>0</v>
      </c>
      <c r="V120" s="17" t="str">
        <f>IF(Template!$M120="CONSELHO","N",IF(Template!$AA120="N","N1",IF(Template!$AA120="N1","N2",IF(Template!$AA120="N2","N3",IF(Template!$AA120="N3","N4",IF(Template!$AA120="N4","N5",IF(Template!$AA120="N5","N6",IF(Template!$AA120="N6","N7",IF(Template!$AA120="N7","N8",IF(Template!$AA120="N8","N9",IF(Template!$AA120="N9","N10","NA")))))))))))</f>
        <v>N4</v>
      </c>
      <c r="W120" s="17">
        <f>COUNTIF(Template!$M$3:$M$619,Template!$D120)</f>
        <v>0</v>
      </c>
      <c r="X120" s="17" t="str">
        <f>IF(Template!$F120="","",SUMIF(Template!$M$3:$M$619,Template!$D120,Template!$AC$3:$AC$619))</f>
        <v/>
      </c>
      <c r="Y120" s="17" t="str">
        <f>IFERROR(VLOOKUP(Template!$M120,Template!$D$3:$G$619,MATCH("EmployeeJobTitle",Template!$D$2:$G$2,0),FALSE),"NA")</f>
        <v>GERENTE DE LOJA</v>
      </c>
      <c r="Z120" s="17" t="str">
        <f>IFERROR(VLOOKUP(Template!$M120,Template!$D$3:$G$619,MATCH("EmployeeGroup",Template!$D$2:$G$2,0),FALSE),"NA")</f>
        <v>GERENTE</v>
      </c>
      <c r="AA120" s="17" t="str">
        <f>IFERROR(VLOOKUP(Template!$M120,Template!$D$3:$V$619,MATCH("Layer",Template!$D$2:$V$2,0),FALSE),"NA")</f>
        <v>N3</v>
      </c>
      <c r="AB120" s="21">
        <f>VLOOKUP(Template!$M120,Template!$D$3:$F$619,MATCH("InternalGrade",Template!$D$2:$F$2,0),FALSE)-Template!$F120</f>
        <v>0</v>
      </c>
      <c r="AC120" s="17">
        <f>IF(Template!$AB120&lt;=1, 0.8,IF(Template!$AB120=2,0.4,IF(Template!$AB120=3,0.2,IF(Template!$AB120=4,0.1,IF(Template!$AB120&gt;=5,0.05,"erro")))))</f>
        <v>0.8</v>
      </c>
      <c r="AD120" s="17" t="b">
        <f>Template!$D120=Template!$M120</f>
        <v>0</v>
      </c>
      <c r="AE120" s="12" t="s">
        <v>58</v>
      </c>
    </row>
    <row r="121" ht="15.75" customHeight="1">
      <c r="A121" s="7" t="s">
        <v>190</v>
      </c>
      <c r="B121" s="7" t="s">
        <v>191</v>
      </c>
      <c r="C121" s="7" t="s">
        <v>192</v>
      </c>
      <c r="D121" s="13">
        <v>24569.0</v>
      </c>
      <c r="E121" s="7" t="s">
        <v>196</v>
      </c>
      <c r="F121" s="13"/>
      <c r="G121" s="14" t="s">
        <v>63</v>
      </c>
      <c r="H121" s="7" t="s">
        <v>194</v>
      </c>
      <c r="I121" s="7" t="s">
        <v>195</v>
      </c>
      <c r="J121" s="7" t="s">
        <v>70</v>
      </c>
      <c r="K121" s="15">
        <v>45236.0</v>
      </c>
      <c r="L121" s="15">
        <v>36035.0</v>
      </c>
      <c r="M121" s="13">
        <v>14002.0</v>
      </c>
      <c r="N121" s="7">
        <v>1816.0</v>
      </c>
      <c r="O121" s="7"/>
      <c r="P121" s="7">
        <v>13.33</v>
      </c>
      <c r="Q121" s="7"/>
      <c r="R121" s="20"/>
      <c r="S121" s="7"/>
      <c r="T121" s="20"/>
      <c r="U121" s="16">
        <f>SUM(Template!$N121:$O121)*Template!$P121+Template!$Q121</f>
        <v>24207.28</v>
      </c>
      <c r="V121" s="17" t="str">
        <f>IF(Template!$M121="CONSELHO","N",IF(Template!$AA121="N","N1",IF(Template!$AA121="N1","N2",IF(Template!$AA121="N2","N3",IF(Template!$AA121="N3","N4",IF(Template!$AA121="N4","N5",IF(Template!$AA121="N5","N6",IF(Template!$AA121="N6","N7",IF(Template!$AA121="N7","N8",IF(Template!$AA121="N8","N9",IF(Template!$AA121="N9","N10","NA")))))))))))</f>
        <v>N4</v>
      </c>
      <c r="W121" s="17">
        <f>COUNTIF(Template!$M$3:$M$619,Template!$D121)</f>
        <v>0</v>
      </c>
      <c r="X121" s="17" t="str">
        <f>IF(Template!$F121="","",SUMIF(Template!$M$3:$M$619,Template!$D121,Template!$AC$3:$AC$619))</f>
        <v/>
      </c>
      <c r="Y121" s="17" t="str">
        <f>IFERROR(VLOOKUP(Template!$M121,Template!$D$3:$G$619,MATCH("EmployeeJobTitle",Template!$D$2:$G$2,0),FALSE),"NA")</f>
        <v>GERENTE DE LOJA</v>
      </c>
      <c r="Z121" s="17" t="str">
        <f>IFERROR(VLOOKUP(Template!$M121,Template!$D$3:$G$619,MATCH("EmployeeGroup",Template!$D$2:$G$2,0),FALSE),"NA")</f>
        <v>GERENTE</v>
      </c>
      <c r="AA121" s="17" t="str">
        <f>IFERROR(VLOOKUP(Template!$M121,Template!$D$3:$V$619,MATCH("Layer",Template!$D$2:$V$2,0),FALSE),"NA")</f>
        <v>N3</v>
      </c>
      <c r="AB121" s="21">
        <f>VLOOKUP(Template!$M121,Template!$D$3:$F$619,MATCH("InternalGrade",Template!$D$2:$F$2,0),FALSE)-Template!$F121</f>
        <v>0</v>
      </c>
      <c r="AC121" s="17">
        <f>IF(Template!$AB121&lt;=1, 0.8,IF(Template!$AB121=2,0.4,IF(Template!$AB121=3,0.2,IF(Template!$AB121=4,0.1,IF(Template!$AB121&gt;=5,0.05,"erro")))))</f>
        <v>0.8</v>
      </c>
      <c r="AD121" s="17" t="b">
        <f>Template!$D121=Template!$M121</f>
        <v>0</v>
      </c>
      <c r="AE121" s="12" t="s">
        <v>58</v>
      </c>
    </row>
    <row r="122" ht="15.75" customHeight="1">
      <c r="A122" s="7" t="s">
        <v>190</v>
      </c>
      <c r="B122" s="7" t="s">
        <v>191</v>
      </c>
      <c r="C122" s="7" t="s">
        <v>192</v>
      </c>
      <c r="D122" s="13">
        <v>14962.0</v>
      </c>
      <c r="E122" s="7" t="s">
        <v>193</v>
      </c>
      <c r="F122" s="13"/>
      <c r="G122" s="14" t="s">
        <v>63</v>
      </c>
      <c r="H122" s="7" t="s">
        <v>194</v>
      </c>
      <c r="I122" s="7" t="s">
        <v>195</v>
      </c>
      <c r="J122" s="7" t="s">
        <v>70</v>
      </c>
      <c r="K122" s="15">
        <v>42464.0</v>
      </c>
      <c r="L122" s="15">
        <v>30574.0</v>
      </c>
      <c r="M122" s="13">
        <v>14002.0</v>
      </c>
      <c r="N122" s="7"/>
      <c r="O122" s="7"/>
      <c r="P122" s="7">
        <v>13.33</v>
      </c>
      <c r="Q122" s="7"/>
      <c r="R122" s="20"/>
      <c r="S122" s="7"/>
      <c r="T122" s="20"/>
      <c r="U122" s="16">
        <f>SUM(Template!$N122:$O122)*Template!$P122+Template!$Q122</f>
        <v>0</v>
      </c>
      <c r="V122" s="17" t="str">
        <f>IF(Template!$M122="CONSELHO","N",IF(Template!$AA122="N","N1",IF(Template!$AA122="N1","N2",IF(Template!$AA122="N2","N3",IF(Template!$AA122="N3","N4",IF(Template!$AA122="N4","N5",IF(Template!$AA122="N5","N6",IF(Template!$AA122="N6","N7",IF(Template!$AA122="N7","N8",IF(Template!$AA122="N8","N9",IF(Template!$AA122="N9","N10","NA")))))))))))</f>
        <v>N4</v>
      </c>
      <c r="W122" s="17">
        <f>COUNTIF(Template!$M$3:$M$619,Template!$D122)</f>
        <v>0</v>
      </c>
      <c r="X122" s="17" t="str">
        <f>IF(Template!$F122="","",SUMIF(Template!$M$3:$M$619,Template!$D122,Template!$AC$3:$AC$619))</f>
        <v/>
      </c>
      <c r="Y122" s="17" t="str">
        <f>IFERROR(VLOOKUP(Template!$M122,Template!$D$3:$G$619,MATCH("EmployeeJobTitle",Template!$D$2:$G$2,0),FALSE),"NA")</f>
        <v>GERENTE DE LOJA</v>
      </c>
      <c r="Z122" s="17" t="str">
        <f>IFERROR(VLOOKUP(Template!$M122,Template!$D$3:$G$619,MATCH("EmployeeGroup",Template!$D$2:$G$2,0),FALSE),"NA")</f>
        <v>GERENTE</v>
      </c>
      <c r="AA122" s="17" t="str">
        <f>IFERROR(VLOOKUP(Template!$M122,Template!$D$3:$V$619,MATCH("Layer",Template!$D$2:$V$2,0),FALSE),"NA")</f>
        <v>N3</v>
      </c>
      <c r="AB122" s="21">
        <f>VLOOKUP(Template!$M122,Template!$D$3:$F$619,MATCH("InternalGrade",Template!$D$2:$F$2,0),FALSE)-Template!$F122</f>
        <v>0</v>
      </c>
      <c r="AC122" s="17">
        <f>IF(Template!$AB122&lt;=1, 0.8,IF(Template!$AB122=2,0.4,IF(Template!$AB122=3,0.2,IF(Template!$AB122=4,0.1,IF(Template!$AB122&gt;=5,0.05,"erro")))))</f>
        <v>0.8</v>
      </c>
      <c r="AD122" s="17" t="b">
        <f>Template!$D122=Template!$M122</f>
        <v>0</v>
      </c>
      <c r="AE122" s="12" t="s">
        <v>58</v>
      </c>
    </row>
    <row r="123" ht="15.75" customHeight="1">
      <c r="A123" s="7" t="s">
        <v>190</v>
      </c>
      <c r="B123" s="7" t="s">
        <v>191</v>
      </c>
      <c r="C123" s="7" t="s">
        <v>192</v>
      </c>
      <c r="D123" s="13">
        <v>24736.0</v>
      </c>
      <c r="E123" s="7" t="s">
        <v>193</v>
      </c>
      <c r="F123" s="13"/>
      <c r="G123" s="14" t="s">
        <v>63</v>
      </c>
      <c r="H123" s="7" t="s">
        <v>194</v>
      </c>
      <c r="I123" s="7" t="s">
        <v>195</v>
      </c>
      <c r="J123" s="7" t="s">
        <v>70</v>
      </c>
      <c r="K123" s="15">
        <v>45266.0</v>
      </c>
      <c r="L123" s="15">
        <v>33424.0</v>
      </c>
      <c r="M123" s="13">
        <v>14002.0</v>
      </c>
      <c r="N123" s="7"/>
      <c r="O123" s="7"/>
      <c r="P123" s="7">
        <v>13.33</v>
      </c>
      <c r="Q123" s="7"/>
      <c r="R123" s="20"/>
      <c r="S123" s="7"/>
      <c r="T123" s="20"/>
      <c r="U123" s="16">
        <f>SUM(Template!$N123:$O123)*Template!$P123+Template!$Q123</f>
        <v>0</v>
      </c>
      <c r="V123" s="17" t="str">
        <f>IF(Template!$M123="CONSELHO","N",IF(Template!$AA123="N","N1",IF(Template!$AA123="N1","N2",IF(Template!$AA123="N2","N3",IF(Template!$AA123="N3","N4",IF(Template!$AA123="N4","N5",IF(Template!$AA123="N5","N6",IF(Template!$AA123="N6","N7",IF(Template!$AA123="N7","N8",IF(Template!$AA123="N8","N9",IF(Template!$AA123="N9","N10","NA")))))))))))</f>
        <v>N4</v>
      </c>
      <c r="W123" s="17">
        <f>COUNTIF(Template!$M$3:$M$619,Template!$D123)</f>
        <v>0</v>
      </c>
      <c r="X123" s="17" t="str">
        <f>IF(Template!$F123="","",SUMIF(Template!$M$3:$M$619,Template!$D123,Template!$AC$3:$AC$619))</f>
        <v/>
      </c>
      <c r="Y123" s="17" t="str">
        <f>IFERROR(VLOOKUP(Template!$M123,Template!$D$3:$G$619,MATCH("EmployeeJobTitle",Template!$D$2:$G$2,0),FALSE),"NA")</f>
        <v>GERENTE DE LOJA</v>
      </c>
      <c r="Z123" s="17" t="str">
        <f>IFERROR(VLOOKUP(Template!$M123,Template!$D$3:$G$619,MATCH("EmployeeGroup",Template!$D$2:$G$2,0),FALSE),"NA")</f>
        <v>GERENTE</v>
      </c>
      <c r="AA123" s="17" t="str">
        <f>IFERROR(VLOOKUP(Template!$M123,Template!$D$3:$V$619,MATCH("Layer",Template!$D$2:$V$2,0),FALSE),"NA")</f>
        <v>N3</v>
      </c>
      <c r="AB123" s="21">
        <f>VLOOKUP(Template!$M123,Template!$D$3:$F$619,MATCH("InternalGrade",Template!$D$2:$F$2,0),FALSE)-Template!$F123</f>
        <v>0</v>
      </c>
      <c r="AC123" s="17">
        <f>IF(Template!$AB123&lt;=1, 0.8,IF(Template!$AB123=2,0.4,IF(Template!$AB123=3,0.2,IF(Template!$AB123=4,0.1,IF(Template!$AB123&gt;=5,0.05,"erro")))))</f>
        <v>0.8</v>
      </c>
      <c r="AD123" s="17" t="b">
        <f>Template!$D123=Template!$M123</f>
        <v>0</v>
      </c>
      <c r="AE123" s="12" t="s">
        <v>58</v>
      </c>
    </row>
    <row r="124" ht="15.75" customHeight="1">
      <c r="A124" s="7" t="s">
        <v>190</v>
      </c>
      <c r="B124" s="7" t="s">
        <v>191</v>
      </c>
      <c r="C124" s="7" t="s">
        <v>192</v>
      </c>
      <c r="D124" s="13">
        <v>16937.0</v>
      </c>
      <c r="E124" s="7" t="s">
        <v>197</v>
      </c>
      <c r="F124" s="13"/>
      <c r="G124" s="22" t="s">
        <v>87</v>
      </c>
      <c r="H124" s="7" t="s">
        <v>194</v>
      </c>
      <c r="I124" s="7" t="s">
        <v>195</v>
      </c>
      <c r="J124" s="7" t="s">
        <v>70</v>
      </c>
      <c r="K124" s="15">
        <v>43297.0</v>
      </c>
      <c r="L124" s="15">
        <v>33559.0</v>
      </c>
      <c r="M124" s="13">
        <v>14002.0</v>
      </c>
      <c r="N124" s="7"/>
      <c r="O124" s="7"/>
      <c r="P124" s="7">
        <v>13.33</v>
      </c>
      <c r="Q124" s="7"/>
      <c r="R124" s="20"/>
      <c r="S124" s="7"/>
      <c r="T124" s="20"/>
      <c r="U124" s="16">
        <f>SUM(Template!$N124:$O124)*Template!$P124+Template!$Q124</f>
        <v>0</v>
      </c>
      <c r="V124" s="17" t="str">
        <f>IF(Template!$M124="CONSELHO","N",IF(Template!$AA124="N","N1",IF(Template!$AA124="N1","N2",IF(Template!$AA124="N2","N3",IF(Template!$AA124="N3","N4",IF(Template!$AA124="N4","N5",IF(Template!$AA124="N5","N6",IF(Template!$AA124="N6","N7",IF(Template!$AA124="N7","N8",IF(Template!$AA124="N8","N9",IF(Template!$AA124="N9","N10","NA")))))))))))</f>
        <v>N4</v>
      </c>
      <c r="W124" s="17">
        <f>COUNTIF(Template!$M$3:$M$619,Template!$D124)</f>
        <v>0</v>
      </c>
      <c r="X124" s="17" t="str">
        <f>IF(Template!$F124="","",SUMIF(Template!$M$3:$M$619,Template!$D124,Template!$AC$3:$AC$619))</f>
        <v/>
      </c>
      <c r="Y124" s="17" t="str">
        <f>IFERROR(VLOOKUP(Template!$M124,Template!$D$3:$G$619,MATCH("EmployeeJobTitle",Template!$D$2:$G$2,0),FALSE),"NA")</f>
        <v>GERENTE DE LOJA</v>
      </c>
      <c r="Z124" s="17" t="str">
        <f>IFERROR(VLOOKUP(Template!$M124,Template!$D$3:$G$619,MATCH("EmployeeGroup",Template!$D$2:$G$2,0),FALSE),"NA")</f>
        <v>GERENTE</v>
      </c>
      <c r="AA124" s="17" t="str">
        <f>IFERROR(VLOOKUP(Template!$M124,Template!$D$3:$V$619,MATCH("Layer",Template!$D$2:$V$2,0),FALSE),"NA")</f>
        <v>N3</v>
      </c>
      <c r="AB124" s="21">
        <f>VLOOKUP(Template!$M124,Template!$D$3:$F$619,MATCH("InternalGrade",Template!$D$2:$F$2,0),FALSE)-Template!$F124</f>
        <v>0</v>
      </c>
      <c r="AC124" s="17">
        <f>IF(Template!$AB124&lt;=1, 0.8,IF(Template!$AB124=2,0.4,IF(Template!$AB124=3,0.2,IF(Template!$AB124=4,0.1,IF(Template!$AB124&gt;=5,0.05,"erro")))))</f>
        <v>0.8</v>
      </c>
      <c r="AD124" s="17" t="b">
        <f>Template!$D124=Template!$M124</f>
        <v>0</v>
      </c>
      <c r="AE124" s="12" t="s">
        <v>58</v>
      </c>
    </row>
    <row r="125" ht="15.75" customHeight="1">
      <c r="A125" s="7" t="s">
        <v>190</v>
      </c>
      <c r="B125" s="7" t="s">
        <v>191</v>
      </c>
      <c r="C125" s="7" t="s">
        <v>192</v>
      </c>
      <c r="D125" s="13">
        <v>18048.0</v>
      </c>
      <c r="E125" s="7" t="s">
        <v>196</v>
      </c>
      <c r="F125" s="13"/>
      <c r="G125" s="14" t="s">
        <v>63</v>
      </c>
      <c r="H125" s="7" t="s">
        <v>194</v>
      </c>
      <c r="I125" s="7" t="s">
        <v>195</v>
      </c>
      <c r="J125" s="7" t="s">
        <v>70</v>
      </c>
      <c r="K125" s="15">
        <v>43787.0</v>
      </c>
      <c r="L125" s="15">
        <v>28685.0</v>
      </c>
      <c r="M125" s="13">
        <v>14002.0</v>
      </c>
      <c r="N125" s="7">
        <v>2129.0</v>
      </c>
      <c r="O125" s="7"/>
      <c r="P125" s="7">
        <v>13.33</v>
      </c>
      <c r="Q125" s="7"/>
      <c r="R125" s="20"/>
      <c r="S125" s="7"/>
      <c r="T125" s="20"/>
      <c r="U125" s="16">
        <f>SUM(Template!$N125:$O125)*Template!$P125+Template!$Q125</f>
        <v>28379.57</v>
      </c>
      <c r="V125" s="17" t="str">
        <f>IF(Template!$M125="CONSELHO","N",IF(Template!$AA125="N","N1",IF(Template!$AA125="N1","N2",IF(Template!$AA125="N2","N3",IF(Template!$AA125="N3","N4",IF(Template!$AA125="N4","N5",IF(Template!$AA125="N5","N6",IF(Template!$AA125="N6","N7",IF(Template!$AA125="N7","N8",IF(Template!$AA125="N8","N9",IF(Template!$AA125="N9","N10","NA")))))))))))</f>
        <v>N4</v>
      </c>
      <c r="W125" s="17">
        <f>COUNTIF(Template!$M$3:$M$619,Template!$D125)</f>
        <v>0</v>
      </c>
      <c r="X125" s="17" t="str">
        <f>IF(Template!$F125="","",SUMIF(Template!$M$3:$M$619,Template!$D125,Template!$AC$3:$AC$619))</f>
        <v/>
      </c>
      <c r="Y125" s="17" t="str">
        <f>IFERROR(VLOOKUP(Template!$M125,Template!$D$3:$G$619,MATCH("EmployeeJobTitle",Template!$D$2:$G$2,0),FALSE),"NA")</f>
        <v>GERENTE DE LOJA</v>
      </c>
      <c r="Z125" s="17" t="str">
        <f>IFERROR(VLOOKUP(Template!$M125,Template!$D$3:$G$619,MATCH("EmployeeGroup",Template!$D$2:$G$2,0),FALSE),"NA")</f>
        <v>GERENTE</v>
      </c>
      <c r="AA125" s="17" t="str">
        <f>IFERROR(VLOOKUP(Template!$M125,Template!$D$3:$V$619,MATCH("Layer",Template!$D$2:$V$2,0),FALSE),"NA")</f>
        <v>N3</v>
      </c>
      <c r="AB125" s="21">
        <f>VLOOKUP(Template!$M125,Template!$D$3:$F$619,MATCH("InternalGrade",Template!$D$2:$F$2,0),FALSE)-Template!$F125</f>
        <v>0</v>
      </c>
      <c r="AC125" s="17">
        <f>IF(Template!$AB125&lt;=1, 0.8,IF(Template!$AB125=2,0.4,IF(Template!$AB125=3,0.2,IF(Template!$AB125=4,0.1,IF(Template!$AB125&gt;=5,0.05,"erro")))))</f>
        <v>0.8</v>
      </c>
      <c r="AD125" s="17" t="b">
        <f>Template!$D125=Template!$M125</f>
        <v>0</v>
      </c>
      <c r="AE125" s="12" t="s">
        <v>58</v>
      </c>
    </row>
    <row r="126" ht="15.75" customHeight="1">
      <c r="A126" s="7" t="s">
        <v>190</v>
      </c>
      <c r="B126" s="7" t="s">
        <v>191</v>
      </c>
      <c r="C126" s="7" t="s">
        <v>192</v>
      </c>
      <c r="D126" s="13">
        <v>19648.0</v>
      </c>
      <c r="E126" s="7" t="s">
        <v>198</v>
      </c>
      <c r="F126" s="13"/>
      <c r="G126" s="14" t="s">
        <v>63</v>
      </c>
      <c r="H126" s="7" t="s">
        <v>194</v>
      </c>
      <c r="I126" s="7" t="s">
        <v>195</v>
      </c>
      <c r="J126" s="7" t="s">
        <v>70</v>
      </c>
      <c r="K126" s="15">
        <v>44378.0</v>
      </c>
      <c r="L126" s="15">
        <v>28712.0</v>
      </c>
      <c r="M126" s="13">
        <v>14002.0</v>
      </c>
      <c r="N126" s="7">
        <v>1703.0</v>
      </c>
      <c r="O126" s="7"/>
      <c r="P126" s="7">
        <v>13.33</v>
      </c>
      <c r="Q126" s="7"/>
      <c r="R126" s="20"/>
      <c r="S126" s="7"/>
      <c r="T126" s="20"/>
      <c r="U126" s="16">
        <f>SUM(Template!$N126:$O126)*Template!$P126+Template!$Q126</f>
        <v>22700.99</v>
      </c>
      <c r="V126" s="17" t="str">
        <f>IF(Template!$M126="CONSELHO","N",IF(Template!$AA126="N","N1",IF(Template!$AA126="N1","N2",IF(Template!$AA126="N2","N3",IF(Template!$AA126="N3","N4",IF(Template!$AA126="N4","N5",IF(Template!$AA126="N5","N6",IF(Template!$AA126="N6","N7",IF(Template!$AA126="N7","N8",IF(Template!$AA126="N8","N9",IF(Template!$AA126="N9","N10","NA")))))))))))</f>
        <v>N4</v>
      </c>
      <c r="W126" s="17">
        <f>COUNTIF(Template!$M$3:$M$619,Template!$D126)</f>
        <v>0</v>
      </c>
      <c r="X126" s="17" t="str">
        <f>IF(Template!$F126="","",SUMIF(Template!$M$3:$M$619,Template!$D126,Template!$AC$3:$AC$619))</f>
        <v/>
      </c>
      <c r="Y126" s="17" t="str">
        <f>IFERROR(VLOOKUP(Template!$M126,Template!$D$3:$G$619,MATCH("EmployeeJobTitle",Template!$D$2:$G$2,0),FALSE),"NA")</f>
        <v>GERENTE DE LOJA</v>
      </c>
      <c r="Z126" s="17" t="str">
        <f>IFERROR(VLOOKUP(Template!$M126,Template!$D$3:$G$619,MATCH("EmployeeGroup",Template!$D$2:$G$2,0),FALSE),"NA")</f>
        <v>GERENTE</v>
      </c>
      <c r="AA126" s="17" t="str">
        <f>IFERROR(VLOOKUP(Template!$M126,Template!$D$3:$V$619,MATCH("Layer",Template!$D$2:$V$2,0),FALSE),"NA")</f>
        <v>N3</v>
      </c>
      <c r="AB126" s="21">
        <f>VLOOKUP(Template!$M126,Template!$D$3:$F$619,MATCH("InternalGrade",Template!$D$2:$F$2,0),FALSE)-Template!$F126</f>
        <v>0</v>
      </c>
      <c r="AC126" s="17">
        <f>IF(Template!$AB126&lt;=1, 0.8,IF(Template!$AB126=2,0.4,IF(Template!$AB126=3,0.2,IF(Template!$AB126=4,0.1,IF(Template!$AB126&gt;=5,0.05,"erro")))))</f>
        <v>0.8</v>
      </c>
      <c r="AD126" s="17" t="b">
        <f>Template!$D126=Template!$M126</f>
        <v>0</v>
      </c>
      <c r="AE126" s="12" t="s">
        <v>58</v>
      </c>
    </row>
    <row r="127" ht="15.75" customHeight="1">
      <c r="A127" s="7" t="s">
        <v>190</v>
      </c>
      <c r="B127" s="7" t="s">
        <v>191</v>
      </c>
      <c r="C127" s="7" t="s">
        <v>192</v>
      </c>
      <c r="D127" s="13">
        <v>14002.0</v>
      </c>
      <c r="E127" s="7" t="s">
        <v>199</v>
      </c>
      <c r="F127" s="13"/>
      <c r="G127" s="22" t="s">
        <v>200</v>
      </c>
      <c r="H127" s="7" t="s">
        <v>194</v>
      </c>
      <c r="I127" s="7" t="s">
        <v>195</v>
      </c>
      <c r="J127" s="7" t="s">
        <v>70</v>
      </c>
      <c r="K127" s="15">
        <v>41974.0</v>
      </c>
      <c r="L127" s="15">
        <v>32882.0</v>
      </c>
      <c r="M127" s="13">
        <v>23256.0</v>
      </c>
      <c r="N127" s="7">
        <v>5393.0</v>
      </c>
      <c r="O127" s="7"/>
      <c r="P127" s="7">
        <v>13.33</v>
      </c>
      <c r="Q127" s="7"/>
      <c r="R127" s="20"/>
      <c r="S127" s="7"/>
      <c r="T127" s="20"/>
      <c r="U127" s="16">
        <f>SUM(Template!$N127:$O127)*Template!$P127+Template!$Q127</f>
        <v>71888.69</v>
      </c>
      <c r="V127" s="17" t="str">
        <f>IF(Template!$M127="CONSELHO","N",IF(Template!$AA127="N","N1",IF(Template!$AA127="N1","N2",IF(Template!$AA127="N2","N3",IF(Template!$AA127="N3","N4",IF(Template!$AA127="N4","N5",IF(Template!$AA127="N5","N6",IF(Template!$AA127="N6","N7",IF(Template!$AA127="N7","N8",IF(Template!$AA127="N8","N9",IF(Template!$AA127="N9","N10","NA")))))))))))</f>
        <v>N3</v>
      </c>
      <c r="W127" s="17">
        <f>COUNTIF(Template!$M$3:$M$619,Template!$D127)</f>
        <v>14</v>
      </c>
      <c r="X127" s="17" t="str">
        <f>IF(Template!$F127="","",SUMIF(Template!$M$3:$M$619,Template!$D127,Template!$AC$3:$AC$619))</f>
        <v/>
      </c>
      <c r="Y127" s="17" t="str">
        <f>IFERROR(VLOOKUP(Template!$M127,Template!$D$3:$G$619,MATCH("EmployeeJobTitle",Template!$D$2:$G$2,0),FALSE),"NA")</f>
        <v>GERENTE COMERCIAL</v>
      </c>
      <c r="Z127" s="17" t="str">
        <f>IFERROR(VLOOKUP(Template!$M127,Template!$D$3:$G$619,MATCH("EmployeeGroup",Template!$D$2:$G$2,0),FALSE),"NA")</f>
        <v>Coordenador</v>
      </c>
      <c r="AA127" s="17" t="str">
        <f>IFERROR(VLOOKUP(Template!$M127,Template!$D$3:$V$619,MATCH("Layer",Template!$D$2:$V$2,0),FALSE),"NA")</f>
        <v>N2</v>
      </c>
      <c r="AB127" s="21">
        <f>VLOOKUP(Template!$M127,Template!$D$3:$F$619,MATCH("InternalGrade",Template!$D$2:$F$2,0),FALSE)-Template!$F127</f>
        <v>19</v>
      </c>
      <c r="AC127" s="17">
        <f>IF(Template!$AB127&lt;=1, 0.8,IF(Template!$AB127=2,0.4,IF(Template!$AB127=3,0.2,IF(Template!$AB127=4,0.1,IF(Template!$AB127&gt;=5,0.05,"erro")))))</f>
        <v>0.05</v>
      </c>
      <c r="AD127" s="17" t="b">
        <f>Template!$D127=Template!$M127</f>
        <v>0</v>
      </c>
      <c r="AE127" s="12" t="s">
        <v>58</v>
      </c>
    </row>
    <row r="128" ht="15.75" customHeight="1">
      <c r="A128" s="7" t="s">
        <v>190</v>
      </c>
      <c r="B128" s="7" t="s">
        <v>191</v>
      </c>
      <c r="C128" s="7" t="s">
        <v>192</v>
      </c>
      <c r="D128" s="13">
        <v>17962.0</v>
      </c>
      <c r="E128" s="7" t="s">
        <v>193</v>
      </c>
      <c r="F128" s="13"/>
      <c r="G128" s="14" t="s">
        <v>63</v>
      </c>
      <c r="H128" s="7" t="s">
        <v>194</v>
      </c>
      <c r="I128" s="7" t="s">
        <v>195</v>
      </c>
      <c r="J128" s="7" t="s">
        <v>70</v>
      </c>
      <c r="K128" s="15">
        <v>43773.0</v>
      </c>
      <c r="L128" s="15">
        <v>27895.0</v>
      </c>
      <c r="M128" s="13">
        <v>14002.0</v>
      </c>
      <c r="N128" s="7"/>
      <c r="O128" s="7"/>
      <c r="P128" s="7">
        <v>13.33</v>
      </c>
      <c r="Q128" s="7"/>
      <c r="R128" s="20"/>
      <c r="S128" s="7"/>
      <c r="T128" s="20"/>
      <c r="U128" s="16">
        <f>SUM(Template!$N128:$O128)*Template!$P128+Template!$Q128</f>
        <v>0</v>
      </c>
      <c r="V128" s="17" t="str">
        <f>IF(Template!$M128="CONSELHO","N",IF(Template!$AA128="N","N1",IF(Template!$AA128="N1","N2",IF(Template!$AA128="N2","N3",IF(Template!$AA128="N3","N4",IF(Template!$AA128="N4","N5",IF(Template!$AA128="N5","N6",IF(Template!$AA128="N6","N7",IF(Template!$AA128="N7","N8",IF(Template!$AA128="N8","N9",IF(Template!$AA128="N9","N10","NA")))))))))))</f>
        <v>N4</v>
      </c>
      <c r="W128" s="17">
        <f>COUNTIF(Template!$M$3:$M$619,Template!$D128)</f>
        <v>0</v>
      </c>
      <c r="X128" s="17" t="str">
        <f>IF(Template!$F128="","",SUMIF(Template!$M$3:$M$619,Template!$D128,Template!$AC$3:$AC$619))</f>
        <v/>
      </c>
      <c r="Y128" s="17" t="str">
        <f>IFERROR(VLOOKUP(Template!$M128,Template!$D$3:$G$619,MATCH("EmployeeJobTitle",Template!$D$2:$G$2,0),FALSE),"NA")</f>
        <v>GERENTE DE LOJA</v>
      </c>
      <c r="Z128" s="17" t="str">
        <f>IFERROR(VLOOKUP(Template!$M128,Template!$D$3:$G$619,MATCH("EmployeeGroup",Template!$D$2:$G$2,0),FALSE),"NA")</f>
        <v>GERENTE</v>
      </c>
      <c r="AA128" s="17" t="str">
        <f>IFERROR(VLOOKUP(Template!$M128,Template!$D$3:$V$619,MATCH("Layer",Template!$D$2:$V$2,0),FALSE),"NA")</f>
        <v>N3</v>
      </c>
      <c r="AB128" s="21">
        <f>VLOOKUP(Template!$M128,Template!$D$3:$F$619,MATCH("InternalGrade",Template!$D$2:$F$2,0),FALSE)-Template!$F128</f>
        <v>0</v>
      </c>
      <c r="AC128" s="17">
        <f>IF(Template!$AB128&lt;=1, 0.8,IF(Template!$AB128=2,0.4,IF(Template!$AB128=3,0.2,IF(Template!$AB128=4,0.1,IF(Template!$AB128&gt;=5,0.05,"erro")))))</f>
        <v>0.8</v>
      </c>
      <c r="AD128" s="17" t="b">
        <f>Template!$D128=Template!$M128</f>
        <v>0</v>
      </c>
      <c r="AE128" s="12" t="s">
        <v>58</v>
      </c>
    </row>
    <row r="129" ht="15.75" customHeight="1">
      <c r="A129" s="7" t="s">
        <v>190</v>
      </c>
      <c r="B129" s="7" t="s">
        <v>191</v>
      </c>
      <c r="C129" s="7" t="s">
        <v>192</v>
      </c>
      <c r="D129" s="13">
        <v>22536.0</v>
      </c>
      <c r="E129" s="7" t="s">
        <v>198</v>
      </c>
      <c r="F129" s="13"/>
      <c r="G129" s="14" t="s">
        <v>63</v>
      </c>
      <c r="H129" s="7" t="s">
        <v>194</v>
      </c>
      <c r="I129" s="7" t="s">
        <v>195</v>
      </c>
      <c r="J129" s="7" t="s">
        <v>70</v>
      </c>
      <c r="K129" s="15">
        <v>44882.0</v>
      </c>
      <c r="L129" s="15">
        <v>27109.0</v>
      </c>
      <c r="M129" s="13">
        <v>14002.0</v>
      </c>
      <c r="N129" s="7">
        <v>1565.0</v>
      </c>
      <c r="O129" s="7"/>
      <c r="P129" s="7">
        <v>13.33</v>
      </c>
      <c r="Q129" s="7"/>
      <c r="R129" s="20"/>
      <c r="S129" s="7"/>
      <c r="T129" s="20"/>
      <c r="U129" s="16">
        <f>SUM(Template!$N129:$O129)*Template!$P129+Template!$Q129</f>
        <v>20861.45</v>
      </c>
      <c r="V129" s="17" t="str">
        <f>IF(Template!$M129="CONSELHO","N",IF(Template!$AA129="N","N1",IF(Template!$AA129="N1","N2",IF(Template!$AA129="N2","N3",IF(Template!$AA129="N3","N4",IF(Template!$AA129="N4","N5",IF(Template!$AA129="N5","N6",IF(Template!$AA129="N6","N7",IF(Template!$AA129="N7","N8",IF(Template!$AA129="N8","N9",IF(Template!$AA129="N9","N10","NA")))))))))))</f>
        <v>N4</v>
      </c>
      <c r="W129" s="17">
        <f>COUNTIF(Template!$M$3:$M$619,Template!$D129)</f>
        <v>0</v>
      </c>
      <c r="X129" s="17" t="str">
        <f>IF(Template!$F129="","",SUMIF(Template!$M$3:$M$619,Template!$D129,Template!$AC$3:$AC$619))</f>
        <v/>
      </c>
      <c r="Y129" s="17" t="str">
        <f>IFERROR(VLOOKUP(Template!$M129,Template!$D$3:$G$619,MATCH("EmployeeJobTitle",Template!$D$2:$G$2,0),FALSE),"NA")</f>
        <v>GERENTE DE LOJA</v>
      </c>
      <c r="Z129" s="17" t="str">
        <f>IFERROR(VLOOKUP(Template!$M129,Template!$D$3:$G$619,MATCH("EmployeeGroup",Template!$D$2:$G$2,0),FALSE),"NA")</f>
        <v>GERENTE</v>
      </c>
      <c r="AA129" s="17" t="str">
        <f>IFERROR(VLOOKUP(Template!$M129,Template!$D$3:$V$619,MATCH("Layer",Template!$D$2:$V$2,0),FALSE),"NA")</f>
        <v>N3</v>
      </c>
      <c r="AB129" s="21">
        <f>VLOOKUP(Template!$M129,Template!$D$3:$F$619,MATCH("InternalGrade",Template!$D$2:$F$2,0),FALSE)-Template!$F129</f>
        <v>0</v>
      </c>
      <c r="AC129" s="17">
        <f>IF(Template!$AB129&lt;=1, 0.8,IF(Template!$AB129=2,0.4,IF(Template!$AB129=3,0.2,IF(Template!$AB129=4,0.1,IF(Template!$AB129&gt;=5,0.05,"erro")))))</f>
        <v>0.8</v>
      </c>
      <c r="AD129" s="17" t="b">
        <f>Template!$D129=Template!$M129</f>
        <v>0</v>
      </c>
      <c r="AE129" s="12" t="s">
        <v>58</v>
      </c>
    </row>
    <row r="130" ht="15.75" customHeight="1">
      <c r="A130" s="7" t="s">
        <v>190</v>
      </c>
      <c r="B130" s="7" t="s">
        <v>191</v>
      </c>
      <c r="C130" s="7" t="s">
        <v>192</v>
      </c>
      <c r="D130" s="13">
        <v>24238.0</v>
      </c>
      <c r="E130" s="7" t="s">
        <v>193</v>
      </c>
      <c r="F130" s="13"/>
      <c r="G130" s="14" t="s">
        <v>63</v>
      </c>
      <c r="H130" s="7" t="s">
        <v>194</v>
      </c>
      <c r="I130" s="7" t="s">
        <v>195</v>
      </c>
      <c r="J130" s="7" t="s">
        <v>70</v>
      </c>
      <c r="K130" s="15">
        <v>45159.0</v>
      </c>
      <c r="L130" s="15">
        <v>32086.0</v>
      </c>
      <c r="M130" s="13">
        <v>14002.0</v>
      </c>
      <c r="N130" s="7"/>
      <c r="O130" s="7"/>
      <c r="P130" s="7">
        <v>13.33</v>
      </c>
      <c r="Q130" s="7"/>
      <c r="R130" s="20"/>
      <c r="S130" s="7"/>
      <c r="T130" s="20"/>
      <c r="U130" s="16">
        <f>SUM(Template!$N130:$O130)*Template!$P130+Template!$Q130</f>
        <v>0</v>
      </c>
      <c r="V130" s="17" t="str">
        <f>IF(Template!$M130="CONSELHO","N",IF(Template!$AA130="N","N1",IF(Template!$AA130="N1","N2",IF(Template!$AA130="N2","N3",IF(Template!$AA130="N3","N4",IF(Template!$AA130="N4","N5",IF(Template!$AA130="N5","N6",IF(Template!$AA130="N6","N7",IF(Template!$AA130="N7","N8",IF(Template!$AA130="N8","N9",IF(Template!$AA130="N9","N10","NA")))))))))))</f>
        <v>N4</v>
      </c>
      <c r="W130" s="17">
        <f>COUNTIF(Template!$M$3:$M$619,Template!$D130)</f>
        <v>0</v>
      </c>
      <c r="X130" s="17" t="str">
        <f>IF(Template!$F130="","",SUMIF(Template!$M$3:$M$619,Template!$D130,Template!$AC$3:$AC$619))</f>
        <v/>
      </c>
      <c r="Y130" s="17" t="str">
        <f>IFERROR(VLOOKUP(Template!$M130,Template!$D$3:$G$619,MATCH("EmployeeJobTitle",Template!$D$2:$G$2,0),FALSE),"NA")</f>
        <v>GERENTE DE LOJA</v>
      </c>
      <c r="Z130" s="17" t="str">
        <f>IFERROR(VLOOKUP(Template!$M130,Template!$D$3:$G$619,MATCH("EmployeeGroup",Template!$D$2:$G$2,0),FALSE),"NA")</f>
        <v>GERENTE</v>
      </c>
      <c r="AA130" s="17" t="str">
        <f>IFERROR(VLOOKUP(Template!$M130,Template!$D$3:$V$619,MATCH("Layer",Template!$D$2:$V$2,0),FALSE),"NA")</f>
        <v>N3</v>
      </c>
      <c r="AB130" s="21">
        <f>VLOOKUP(Template!$M130,Template!$D$3:$F$619,MATCH("InternalGrade",Template!$D$2:$F$2,0),FALSE)-Template!$F130</f>
        <v>0</v>
      </c>
      <c r="AC130" s="17">
        <f>IF(Template!$AB130&lt;=1, 0.8,IF(Template!$AB130=2,0.4,IF(Template!$AB130=3,0.2,IF(Template!$AB130=4,0.1,IF(Template!$AB130&gt;=5,0.05,"erro")))))</f>
        <v>0.8</v>
      </c>
      <c r="AD130" s="17" t="b">
        <f>Template!$D130=Template!$M130</f>
        <v>0</v>
      </c>
      <c r="AE130" s="12" t="s">
        <v>58</v>
      </c>
    </row>
    <row r="131" ht="15.75" customHeight="1">
      <c r="A131" s="7" t="s">
        <v>190</v>
      </c>
      <c r="B131" s="7" t="s">
        <v>191</v>
      </c>
      <c r="C131" s="7" t="s">
        <v>192</v>
      </c>
      <c r="D131" s="13">
        <v>25438.0</v>
      </c>
      <c r="E131" s="7" t="s">
        <v>201</v>
      </c>
      <c r="F131" s="13"/>
      <c r="G131" s="14" t="s">
        <v>63</v>
      </c>
      <c r="H131" s="7" t="s">
        <v>194</v>
      </c>
      <c r="I131" s="7" t="s">
        <v>195</v>
      </c>
      <c r="J131" s="7" t="s">
        <v>70</v>
      </c>
      <c r="K131" s="15">
        <v>45574.0</v>
      </c>
      <c r="L131" s="15">
        <v>39213.0</v>
      </c>
      <c r="M131" s="13">
        <v>14002.0</v>
      </c>
      <c r="N131" s="7">
        <v>930.0</v>
      </c>
      <c r="O131" s="7"/>
      <c r="P131" s="7">
        <v>13.33</v>
      </c>
      <c r="Q131" s="7"/>
      <c r="R131" s="20"/>
      <c r="S131" s="7"/>
      <c r="T131" s="20"/>
      <c r="U131" s="16">
        <f>SUM(Template!$N131:$O131)*Template!$P131+Template!$Q131</f>
        <v>12396.9</v>
      </c>
      <c r="V131" s="17" t="str">
        <f>IF(Template!$M131="CONSELHO","N",IF(Template!$AA131="N","N1",IF(Template!$AA131="N1","N2",IF(Template!$AA131="N2","N3",IF(Template!$AA131="N3","N4",IF(Template!$AA131="N4","N5",IF(Template!$AA131="N5","N6",IF(Template!$AA131="N6","N7",IF(Template!$AA131="N7","N8",IF(Template!$AA131="N8","N9",IF(Template!$AA131="N9","N10","NA")))))))))))</f>
        <v>N4</v>
      </c>
      <c r="W131" s="17">
        <f>COUNTIF(Template!$M$3:$M$619,Template!$D131)</f>
        <v>0</v>
      </c>
      <c r="X131" s="17" t="str">
        <f>IF(Template!$F131="","",SUMIF(Template!$M$3:$M$619,Template!$D131,Template!$AC$3:$AC$619))</f>
        <v/>
      </c>
      <c r="Y131" s="17" t="str">
        <f>IFERROR(VLOOKUP(Template!$M131,Template!$D$3:$G$619,MATCH("EmployeeJobTitle",Template!$D$2:$G$2,0),FALSE),"NA")</f>
        <v>GERENTE DE LOJA</v>
      </c>
      <c r="Z131" s="17" t="str">
        <f>IFERROR(VLOOKUP(Template!$M131,Template!$D$3:$G$619,MATCH("EmployeeGroup",Template!$D$2:$G$2,0),FALSE),"NA")</f>
        <v>GERENTE</v>
      </c>
      <c r="AA131" s="17" t="str">
        <f>IFERROR(VLOOKUP(Template!$M131,Template!$D$3:$V$619,MATCH("Layer",Template!$D$2:$V$2,0),FALSE),"NA")</f>
        <v>N3</v>
      </c>
      <c r="AB131" s="21">
        <f>VLOOKUP(Template!$M131,Template!$D$3:$F$619,MATCH("InternalGrade",Template!$D$2:$F$2,0),FALSE)-Template!$F131</f>
        <v>0</v>
      </c>
      <c r="AC131" s="17">
        <f>IF(Template!$AB131&lt;=1, 0.8,IF(Template!$AB131=2,0.4,IF(Template!$AB131=3,0.2,IF(Template!$AB131=4,0.1,IF(Template!$AB131&gt;=5,0.05,"erro")))))</f>
        <v>0.8</v>
      </c>
      <c r="AD131" s="17" t="b">
        <f>Template!$D131=Template!$M131</f>
        <v>0</v>
      </c>
      <c r="AE131" s="12" t="s">
        <v>58</v>
      </c>
    </row>
    <row r="132" ht="15.75" customHeight="1">
      <c r="A132" s="7" t="s">
        <v>190</v>
      </c>
      <c r="B132" s="7" t="s">
        <v>191</v>
      </c>
      <c r="C132" s="7" t="s">
        <v>202</v>
      </c>
      <c r="D132" s="13">
        <v>23012.0</v>
      </c>
      <c r="E132" s="7" t="s">
        <v>193</v>
      </c>
      <c r="F132" s="13"/>
      <c r="G132" s="14" t="s">
        <v>63</v>
      </c>
      <c r="H132" s="7" t="s">
        <v>194</v>
      </c>
      <c r="I132" s="7" t="s">
        <v>195</v>
      </c>
      <c r="J132" s="7" t="s">
        <v>70</v>
      </c>
      <c r="K132" s="15">
        <v>44896.0</v>
      </c>
      <c r="L132" s="15">
        <v>33176.0</v>
      </c>
      <c r="M132" s="13">
        <v>16949.0</v>
      </c>
      <c r="N132" s="7"/>
      <c r="O132" s="7"/>
      <c r="P132" s="7">
        <v>13.33</v>
      </c>
      <c r="Q132" s="7"/>
      <c r="R132" s="20"/>
      <c r="S132" s="7"/>
      <c r="T132" s="20"/>
      <c r="U132" s="16">
        <f>SUM(Template!$N132:$O132)*Template!$P132+Template!$Q132</f>
        <v>0</v>
      </c>
      <c r="V132" s="17" t="str">
        <f>IF(Template!$M132="CONSELHO","N",IF(Template!$AA132="N","N1",IF(Template!$AA132="N1","N2",IF(Template!$AA132="N2","N3",IF(Template!$AA132="N3","N4",IF(Template!$AA132="N4","N5",IF(Template!$AA132="N5","N6",IF(Template!$AA132="N6","N7",IF(Template!$AA132="N7","N8",IF(Template!$AA132="N8","N9",IF(Template!$AA132="N9","N10","NA")))))))))))</f>
        <v>N4</v>
      </c>
      <c r="W132" s="17">
        <f>COUNTIF(Template!$M$3:$M$619,Template!$D132)</f>
        <v>0</v>
      </c>
      <c r="X132" s="17" t="str">
        <f>IF(Template!$F132="","",SUMIF(Template!$M$3:$M$619,Template!$D132,Template!$AC$3:$AC$619))</f>
        <v/>
      </c>
      <c r="Y132" s="17" t="str">
        <f>IFERROR(VLOOKUP(Template!$M132,Template!$D$3:$G$619,MATCH("EmployeeJobTitle",Template!$D$2:$G$2,0),FALSE),"NA")</f>
        <v>GERENTE DE LOJA</v>
      </c>
      <c r="Z132" s="17" t="str">
        <f>IFERROR(VLOOKUP(Template!$M132,Template!$D$3:$G$619,MATCH("EmployeeGroup",Template!$D$2:$G$2,0),FALSE),"NA")</f>
        <v>GERENTE</v>
      </c>
      <c r="AA132" s="17" t="str">
        <f>IFERROR(VLOOKUP(Template!$M132,Template!$D$3:$V$619,MATCH("Layer",Template!$D$2:$V$2,0),FALSE),"NA")</f>
        <v>N3</v>
      </c>
      <c r="AB132" s="21">
        <f>VLOOKUP(Template!$M132,Template!$D$3:$F$619,MATCH("InternalGrade",Template!$D$2:$F$2,0),FALSE)-Template!$F132</f>
        <v>0</v>
      </c>
      <c r="AC132" s="17">
        <f>IF(Template!$AB132&lt;=1, 0.8,IF(Template!$AB132=2,0.4,IF(Template!$AB132=3,0.2,IF(Template!$AB132=4,0.1,IF(Template!$AB132&gt;=5,0.05,"erro")))))</f>
        <v>0.8</v>
      </c>
      <c r="AD132" s="17" t="b">
        <f>Template!$D132=Template!$M132</f>
        <v>0</v>
      </c>
      <c r="AE132" s="12" t="s">
        <v>58</v>
      </c>
    </row>
    <row r="133" ht="15.75" customHeight="1">
      <c r="A133" s="7" t="s">
        <v>190</v>
      </c>
      <c r="B133" s="7" t="s">
        <v>191</v>
      </c>
      <c r="C133" s="7" t="s">
        <v>202</v>
      </c>
      <c r="D133" s="13">
        <v>16949.0</v>
      </c>
      <c r="E133" s="7" t="s">
        <v>199</v>
      </c>
      <c r="F133" s="13"/>
      <c r="G133" s="22" t="s">
        <v>200</v>
      </c>
      <c r="H133" s="7" t="s">
        <v>194</v>
      </c>
      <c r="I133" s="7" t="s">
        <v>195</v>
      </c>
      <c r="J133" s="7" t="s">
        <v>70</v>
      </c>
      <c r="K133" s="15">
        <v>43297.0</v>
      </c>
      <c r="L133" s="15">
        <v>33203.0</v>
      </c>
      <c r="M133" s="13">
        <v>23256.0</v>
      </c>
      <c r="N133" s="7">
        <v>4576.0</v>
      </c>
      <c r="O133" s="7"/>
      <c r="P133" s="7">
        <v>13.33</v>
      </c>
      <c r="Q133" s="7"/>
      <c r="R133" s="20"/>
      <c r="S133" s="7"/>
      <c r="T133" s="20"/>
      <c r="U133" s="16">
        <f>SUM(Template!$N133:$O133)*Template!$P133+Template!$Q133</f>
        <v>60998.08</v>
      </c>
      <c r="V133" s="17" t="str">
        <f>IF(Template!$M133="CONSELHO","N",IF(Template!$AA133="N","N1",IF(Template!$AA133="N1","N2",IF(Template!$AA133="N2","N3",IF(Template!$AA133="N3","N4",IF(Template!$AA133="N4","N5",IF(Template!$AA133="N5","N6",IF(Template!$AA133="N6","N7",IF(Template!$AA133="N7","N8",IF(Template!$AA133="N8","N9",IF(Template!$AA133="N9","N10","NA")))))))))))</f>
        <v>N3</v>
      </c>
      <c r="W133" s="17">
        <f>COUNTIF(Template!$M$3:$M$619,Template!$D133)</f>
        <v>17</v>
      </c>
      <c r="X133" s="17" t="str">
        <f>IF(Template!$F133="","",SUMIF(Template!$M$3:$M$619,Template!$D133,Template!$AC$3:$AC$619))</f>
        <v/>
      </c>
      <c r="Y133" s="17" t="str">
        <f>IFERROR(VLOOKUP(Template!$M133,Template!$D$3:$G$619,MATCH("EmployeeJobTitle",Template!$D$2:$G$2,0),FALSE),"NA")</f>
        <v>GERENTE COMERCIAL</v>
      </c>
      <c r="Z133" s="17" t="str">
        <f>IFERROR(VLOOKUP(Template!$M133,Template!$D$3:$G$619,MATCH("EmployeeGroup",Template!$D$2:$G$2,0),FALSE),"NA")</f>
        <v>Coordenador</v>
      </c>
      <c r="AA133" s="17" t="str">
        <f>IFERROR(VLOOKUP(Template!$M133,Template!$D$3:$V$619,MATCH("Layer",Template!$D$2:$V$2,0),FALSE),"NA")</f>
        <v>N2</v>
      </c>
      <c r="AB133" s="21">
        <f>VLOOKUP(Template!$M133,Template!$D$3:$F$619,MATCH("InternalGrade",Template!$D$2:$F$2,0),FALSE)-Template!$F133</f>
        <v>19</v>
      </c>
      <c r="AC133" s="17">
        <f>IF(Template!$AB133&lt;=1, 0.8,IF(Template!$AB133=2,0.4,IF(Template!$AB133=3,0.2,IF(Template!$AB133=4,0.1,IF(Template!$AB133&gt;=5,0.05,"erro")))))</f>
        <v>0.05</v>
      </c>
      <c r="AD133" s="17" t="b">
        <f>Template!$D133=Template!$M133</f>
        <v>0</v>
      </c>
      <c r="AE133" s="12" t="s">
        <v>58</v>
      </c>
    </row>
    <row r="134" ht="15.75" customHeight="1">
      <c r="A134" s="7" t="s">
        <v>190</v>
      </c>
      <c r="B134" s="7" t="s">
        <v>191</v>
      </c>
      <c r="C134" s="7" t="s">
        <v>202</v>
      </c>
      <c r="D134" s="13">
        <v>20714.0</v>
      </c>
      <c r="E134" s="7" t="s">
        <v>193</v>
      </c>
      <c r="F134" s="13"/>
      <c r="G134" s="14" t="s">
        <v>63</v>
      </c>
      <c r="H134" s="7" t="s">
        <v>194</v>
      </c>
      <c r="I134" s="7" t="s">
        <v>195</v>
      </c>
      <c r="J134" s="7" t="s">
        <v>70</v>
      </c>
      <c r="K134" s="15">
        <v>44732.0</v>
      </c>
      <c r="L134" s="15">
        <v>36120.0</v>
      </c>
      <c r="M134" s="13">
        <v>16949.0</v>
      </c>
      <c r="N134" s="7"/>
      <c r="O134" s="7"/>
      <c r="P134" s="7">
        <v>13.33</v>
      </c>
      <c r="Q134" s="7"/>
      <c r="R134" s="20"/>
      <c r="S134" s="7"/>
      <c r="T134" s="20"/>
      <c r="U134" s="16">
        <f>SUM(Template!$N134:$O134)*Template!$P134+Template!$Q134</f>
        <v>0</v>
      </c>
      <c r="V134" s="17" t="str">
        <f>IF(Template!$M134="CONSELHO","N",IF(Template!$AA134="N","N1",IF(Template!$AA134="N1","N2",IF(Template!$AA134="N2","N3",IF(Template!$AA134="N3","N4",IF(Template!$AA134="N4","N5",IF(Template!$AA134="N5","N6",IF(Template!$AA134="N6","N7",IF(Template!$AA134="N7","N8",IF(Template!$AA134="N8","N9",IF(Template!$AA134="N9","N10","NA")))))))))))</f>
        <v>N4</v>
      </c>
      <c r="W134" s="17">
        <f>COUNTIF(Template!$M$3:$M$619,Template!$D134)</f>
        <v>0</v>
      </c>
      <c r="X134" s="17" t="str">
        <f>IF(Template!$F134="","",SUMIF(Template!$M$3:$M$619,Template!$D134,Template!$AC$3:$AC$619))</f>
        <v/>
      </c>
      <c r="Y134" s="17" t="str">
        <f>IFERROR(VLOOKUP(Template!$M134,Template!$D$3:$G$619,MATCH("EmployeeJobTitle",Template!$D$2:$G$2,0),FALSE),"NA")</f>
        <v>GERENTE DE LOJA</v>
      </c>
      <c r="Z134" s="17" t="str">
        <f>IFERROR(VLOOKUP(Template!$M134,Template!$D$3:$G$619,MATCH("EmployeeGroup",Template!$D$2:$G$2,0),FALSE),"NA")</f>
        <v>GERENTE</v>
      </c>
      <c r="AA134" s="17" t="str">
        <f>IFERROR(VLOOKUP(Template!$M134,Template!$D$3:$V$619,MATCH("Layer",Template!$D$2:$V$2,0),FALSE),"NA")</f>
        <v>N3</v>
      </c>
      <c r="AB134" s="21">
        <f>VLOOKUP(Template!$M134,Template!$D$3:$F$619,MATCH("InternalGrade",Template!$D$2:$F$2,0),FALSE)-Template!$F134</f>
        <v>0</v>
      </c>
      <c r="AC134" s="17">
        <f>IF(Template!$AB134&lt;=1, 0.8,IF(Template!$AB134=2,0.4,IF(Template!$AB134=3,0.2,IF(Template!$AB134=4,0.1,IF(Template!$AB134&gt;=5,0.05,"erro")))))</f>
        <v>0.8</v>
      </c>
      <c r="AD134" s="17" t="b">
        <f>Template!$D134=Template!$M134</f>
        <v>0</v>
      </c>
      <c r="AE134" s="12" t="s">
        <v>58</v>
      </c>
    </row>
    <row r="135" ht="15.75" customHeight="1">
      <c r="A135" s="7" t="s">
        <v>190</v>
      </c>
      <c r="B135" s="7" t="s">
        <v>191</v>
      </c>
      <c r="C135" s="7" t="s">
        <v>202</v>
      </c>
      <c r="D135" s="13">
        <v>18413.0</v>
      </c>
      <c r="E135" s="7" t="s">
        <v>193</v>
      </c>
      <c r="F135" s="13"/>
      <c r="G135" s="14" t="s">
        <v>63</v>
      </c>
      <c r="H135" s="7" t="s">
        <v>194</v>
      </c>
      <c r="I135" s="7" t="s">
        <v>195</v>
      </c>
      <c r="J135" s="7" t="s">
        <v>70</v>
      </c>
      <c r="K135" s="15">
        <v>43878.0</v>
      </c>
      <c r="L135" s="15">
        <v>32720.0</v>
      </c>
      <c r="M135" s="13">
        <v>16949.0</v>
      </c>
      <c r="N135" s="7"/>
      <c r="O135" s="7"/>
      <c r="P135" s="7">
        <v>13.33</v>
      </c>
      <c r="Q135" s="7"/>
      <c r="R135" s="20"/>
      <c r="S135" s="7"/>
      <c r="T135" s="20"/>
      <c r="U135" s="16">
        <f>SUM(Template!$N135:$O135)*Template!$P135+Template!$Q135</f>
        <v>0</v>
      </c>
      <c r="V135" s="17" t="str">
        <f>IF(Template!$M135="CONSELHO","N",IF(Template!$AA135="N","N1",IF(Template!$AA135="N1","N2",IF(Template!$AA135="N2","N3",IF(Template!$AA135="N3","N4",IF(Template!$AA135="N4","N5",IF(Template!$AA135="N5","N6",IF(Template!$AA135="N6","N7",IF(Template!$AA135="N7","N8",IF(Template!$AA135="N8","N9",IF(Template!$AA135="N9","N10","NA")))))))))))</f>
        <v>N4</v>
      </c>
      <c r="W135" s="17">
        <f>COUNTIF(Template!$M$3:$M$619,Template!$D135)</f>
        <v>0</v>
      </c>
      <c r="X135" s="17" t="str">
        <f>IF(Template!$F135="","",SUMIF(Template!$M$3:$M$619,Template!$D135,Template!$AC$3:$AC$619))</f>
        <v/>
      </c>
      <c r="Y135" s="17" t="str">
        <f>IFERROR(VLOOKUP(Template!$M135,Template!$D$3:$G$619,MATCH("EmployeeJobTitle",Template!$D$2:$G$2,0),FALSE),"NA")</f>
        <v>GERENTE DE LOJA</v>
      </c>
      <c r="Z135" s="17" t="str">
        <f>IFERROR(VLOOKUP(Template!$M135,Template!$D$3:$G$619,MATCH("EmployeeGroup",Template!$D$2:$G$2,0),FALSE),"NA")</f>
        <v>GERENTE</v>
      </c>
      <c r="AA135" s="17" t="str">
        <f>IFERROR(VLOOKUP(Template!$M135,Template!$D$3:$V$619,MATCH("Layer",Template!$D$2:$V$2,0),FALSE),"NA")</f>
        <v>N3</v>
      </c>
      <c r="AB135" s="21">
        <f>VLOOKUP(Template!$M135,Template!$D$3:$F$619,MATCH("InternalGrade",Template!$D$2:$F$2,0),FALSE)-Template!$F135</f>
        <v>0</v>
      </c>
      <c r="AC135" s="17">
        <f>IF(Template!$AB135&lt;=1, 0.8,IF(Template!$AB135=2,0.4,IF(Template!$AB135=3,0.2,IF(Template!$AB135=4,0.1,IF(Template!$AB135&gt;=5,0.05,"erro")))))</f>
        <v>0.8</v>
      </c>
      <c r="AD135" s="17" t="b">
        <f>Template!$D135=Template!$M135</f>
        <v>0</v>
      </c>
      <c r="AE135" s="12" t="s">
        <v>58</v>
      </c>
    </row>
    <row r="136" ht="15.75" customHeight="1">
      <c r="A136" s="7" t="s">
        <v>190</v>
      </c>
      <c r="B136" s="7" t="s">
        <v>191</v>
      </c>
      <c r="C136" s="7" t="s">
        <v>202</v>
      </c>
      <c r="D136" s="13">
        <v>17737.0</v>
      </c>
      <c r="E136" s="7" t="s">
        <v>203</v>
      </c>
      <c r="F136" s="13"/>
      <c r="G136" s="14" t="s">
        <v>63</v>
      </c>
      <c r="H136" s="7" t="s">
        <v>194</v>
      </c>
      <c r="I136" s="7" t="s">
        <v>195</v>
      </c>
      <c r="J136" s="7" t="s">
        <v>70</v>
      </c>
      <c r="K136" s="15">
        <v>43633.0</v>
      </c>
      <c r="L136" s="15">
        <v>29788.0</v>
      </c>
      <c r="M136" s="13">
        <v>16949.0</v>
      </c>
      <c r="N136" s="7"/>
      <c r="O136" s="7"/>
      <c r="P136" s="7">
        <v>13.33</v>
      </c>
      <c r="Q136" s="7"/>
      <c r="R136" s="20"/>
      <c r="S136" s="7"/>
      <c r="T136" s="20"/>
      <c r="U136" s="16">
        <f>SUM(Template!$N136:$O136)*Template!$P136+Template!$Q136</f>
        <v>0</v>
      </c>
      <c r="V136" s="17" t="str">
        <f>IF(Template!$M136="CONSELHO","N",IF(Template!$AA136="N","N1",IF(Template!$AA136="N1","N2",IF(Template!$AA136="N2","N3",IF(Template!$AA136="N3","N4",IF(Template!$AA136="N4","N5",IF(Template!$AA136="N5","N6",IF(Template!$AA136="N6","N7",IF(Template!$AA136="N7","N8",IF(Template!$AA136="N8","N9",IF(Template!$AA136="N9","N10","NA")))))))))))</f>
        <v>N4</v>
      </c>
      <c r="W136" s="17">
        <f>COUNTIF(Template!$M$3:$M$619,Template!$D136)</f>
        <v>0</v>
      </c>
      <c r="X136" s="17" t="str">
        <f>IF(Template!$F136="","",SUMIF(Template!$M$3:$M$619,Template!$D136,Template!$AC$3:$AC$619))</f>
        <v/>
      </c>
      <c r="Y136" s="17" t="str">
        <f>IFERROR(VLOOKUP(Template!$M136,Template!$D$3:$G$619,MATCH("EmployeeJobTitle",Template!$D$2:$G$2,0),FALSE),"NA")</f>
        <v>GERENTE DE LOJA</v>
      </c>
      <c r="Z136" s="17" t="str">
        <f>IFERROR(VLOOKUP(Template!$M136,Template!$D$3:$G$619,MATCH("EmployeeGroup",Template!$D$2:$G$2,0),FALSE),"NA")</f>
        <v>GERENTE</v>
      </c>
      <c r="AA136" s="17" t="str">
        <f>IFERROR(VLOOKUP(Template!$M136,Template!$D$3:$V$619,MATCH("Layer",Template!$D$2:$V$2,0),FALSE),"NA")</f>
        <v>N3</v>
      </c>
      <c r="AB136" s="21">
        <f>VLOOKUP(Template!$M136,Template!$D$3:$F$619,MATCH("InternalGrade",Template!$D$2:$F$2,0),FALSE)-Template!$F136</f>
        <v>0</v>
      </c>
      <c r="AC136" s="17">
        <f>IF(Template!$AB136&lt;=1, 0.8,IF(Template!$AB136=2,0.4,IF(Template!$AB136=3,0.2,IF(Template!$AB136=4,0.1,IF(Template!$AB136&gt;=5,0.05,"erro")))))</f>
        <v>0.8</v>
      </c>
      <c r="AD136" s="17" t="b">
        <f>Template!$D136=Template!$M136</f>
        <v>0</v>
      </c>
      <c r="AE136" s="12" t="s">
        <v>58</v>
      </c>
    </row>
    <row r="137" ht="15.75" customHeight="1">
      <c r="A137" s="7" t="s">
        <v>190</v>
      </c>
      <c r="B137" s="7" t="s">
        <v>191</v>
      </c>
      <c r="C137" s="7" t="s">
        <v>202</v>
      </c>
      <c r="D137" s="13">
        <v>24903.0</v>
      </c>
      <c r="E137" s="7" t="s">
        <v>198</v>
      </c>
      <c r="F137" s="13"/>
      <c r="G137" s="14" t="s">
        <v>63</v>
      </c>
      <c r="H137" s="7" t="s">
        <v>194</v>
      </c>
      <c r="I137" s="7" t="s">
        <v>195</v>
      </c>
      <c r="J137" s="7" t="s">
        <v>70</v>
      </c>
      <c r="K137" s="15">
        <v>45355.0</v>
      </c>
      <c r="L137" s="15">
        <v>34563.0</v>
      </c>
      <c r="M137" s="13">
        <v>16949.0</v>
      </c>
      <c r="N137" s="7">
        <v>1515.0</v>
      </c>
      <c r="O137" s="7"/>
      <c r="P137" s="7">
        <v>13.33</v>
      </c>
      <c r="Q137" s="7"/>
      <c r="R137" s="20"/>
      <c r="S137" s="7"/>
      <c r="T137" s="20"/>
      <c r="U137" s="16">
        <f>SUM(Template!$N137:$O137)*Template!$P137+Template!$Q137</f>
        <v>20194.95</v>
      </c>
      <c r="V137" s="17" t="str">
        <f>IF(Template!$M137="CONSELHO","N",IF(Template!$AA137="N","N1",IF(Template!$AA137="N1","N2",IF(Template!$AA137="N2","N3",IF(Template!$AA137="N3","N4",IF(Template!$AA137="N4","N5",IF(Template!$AA137="N5","N6",IF(Template!$AA137="N6","N7",IF(Template!$AA137="N7","N8",IF(Template!$AA137="N8","N9",IF(Template!$AA137="N9","N10","NA")))))))))))</f>
        <v>N4</v>
      </c>
      <c r="W137" s="17">
        <f>COUNTIF(Template!$M$3:$M$619,Template!$D137)</f>
        <v>0</v>
      </c>
      <c r="X137" s="17" t="str">
        <f>IF(Template!$F137="","",SUMIF(Template!$M$3:$M$619,Template!$D137,Template!$AC$3:$AC$619))</f>
        <v/>
      </c>
      <c r="Y137" s="17" t="str">
        <f>IFERROR(VLOOKUP(Template!$M137,Template!$D$3:$G$619,MATCH("EmployeeJobTitle",Template!$D$2:$G$2,0),FALSE),"NA")</f>
        <v>GERENTE DE LOJA</v>
      </c>
      <c r="Z137" s="17" t="str">
        <f>IFERROR(VLOOKUP(Template!$M137,Template!$D$3:$G$619,MATCH("EmployeeGroup",Template!$D$2:$G$2,0),FALSE),"NA")</f>
        <v>GERENTE</v>
      </c>
      <c r="AA137" s="17" t="str">
        <f>IFERROR(VLOOKUP(Template!$M137,Template!$D$3:$V$619,MATCH("Layer",Template!$D$2:$V$2,0),FALSE),"NA")</f>
        <v>N3</v>
      </c>
      <c r="AB137" s="21">
        <f>VLOOKUP(Template!$M137,Template!$D$3:$F$619,MATCH("InternalGrade",Template!$D$2:$F$2,0),FALSE)-Template!$F137</f>
        <v>0</v>
      </c>
      <c r="AC137" s="17">
        <f>IF(Template!$AB137&lt;=1, 0.8,IF(Template!$AB137=2,0.4,IF(Template!$AB137=3,0.2,IF(Template!$AB137=4,0.1,IF(Template!$AB137&gt;=5,0.05,"erro")))))</f>
        <v>0.8</v>
      </c>
      <c r="AD137" s="17" t="b">
        <f>Template!$D137=Template!$M137</f>
        <v>0</v>
      </c>
      <c r="AE137" s="12" t="s">
        <v>58</v>
      </c>
    </row>
    <row r="138" ht="15.75" customHeight="1">
      <c r="A138" s="7" t="s">
        <v>190</v>
      </c>
      <c r="B138" s="7" t="s">
        <v>191</v>
      </c>
      <c r="C138" s="7" t="s">
        <v>202</v>
      </c>
      <c r="D138" s="13">
        <v>25188.0</v>
      </c>
      <c r="E138" s="7" t="s">
        <v>193</v>
      </c>
      <c r="F138" s="13"/>
      <c r="G138" s="14" t="s">
        <v>63</v>
      </c>
      <c r="H138" s="7" t="s">
        <v>194</v>
      </c>
      <c r="I138" s="7" t="s">
        <v>195</v>
      </c>
      <c r="J138" s="7" t="s">
        <v>70</v>
      </c>
      <c r="K138" s="15">
        <v>45483.0</v>
      </c>
      <c r="L138" s="15">
        <v>33979.0</v>
      </c>
      <c r="M138" s="13">
        <v>16949.0</v>
      </c>
      <c r="N138" s="7"/>
      <c r="O138" s="7"/>
      <c r="P138" s="7">
        <v>13.33</v>
      </c>
      <c r="Q138" s="7"/>
      <c r="R138" s="20"/>
      <c r="S138" s="7"/>
      <c r="T138" s="20"/>
      <c r="U138" s="16">
        <f>SUM(Template!$N138:$O138)*Template!$P138+Template!$Q138</f>
        <v>0</v>
      </c>
      <c r="V138" s="17" t="str">
        <f>IF(Template!$M138="CONSELHO","N",IF(Template!$AA138="N","N1",IF(Template!$AA138="N1","N2",IF(Template!$AA138="N2","N3",IF(Template!$AA138="N3","N4",IF(Template!$AA138="N4","N5",IF(Template!$AA138="N5","N6",IF(Template!$AA138="N6","N7",IF(Template!$AA138="N7","N8",IF(Template!$AA138="N8","N9",IF(Template!$AA138="N9","N10","NA")))))))))))</f>
        <v>N4</v>
      </c>
      <c r="W138" s="17">
        <f>COUNTIF(Template!$M$3:$M$619,Template!$D138)</f>
        <v>0</v>
      </c>
      <c r="X138" s="17" t="str">
        <f>IF(Template!$F138="","",SUMIF(Template!$M$3:$M$619,Template!$D138,Template!$AC$3:$AC$619))</f>
        <v/>
      </c>
      <c r="Y138" s="17" t="str">
        <f>IFERROR(VLOOKUP(Template!$M138,Template!$D$3:$G$619,MATCH("EmployeeJobTitle",Template!$D$2:$G$2,0),FALSE),"NA")</f>
        <v>GERENTE DE LOJA</v>
      </c>
      <c r="Z138" s="17" t="str">
        <f>IFERROR(VLOOKUP(Template!$M138,Template!$D$3:$G$619,MATCH("EmployeeGroup",Template!$D$2:$G$2,0),FALSE),"NA")</f>
        <v>GERENTE</v>
      </c>
      <c r="AA138" s="17" t="str">
        <f>IFERROR(VLOOKUP(Template!$M138,Template!$D$3:$V$619,MATCH("Layer",Template!$D$2:$V$2,0),FALSE),"NA")</f>
        <v>N3</v>
      </c>
      <c r="AB138" s="21">
        <f>VLOOKUP(Template!$M138,Template!$D$3:$F$619,MATCH("InternalGrade",Template!$D$2:$F$2,0),FALSE)-Template!$F138</f>
        <v>0</v>
      </c>
      <c r="AC138" s="17">
        <f>IF(Template!$AB138&lt;=1, 0.8,IF(Template!$AB138=2,0.4,IF(Template!$AB138=3,0.2,IF(Template!$AB138=4,0.1,IF(Template!$AB138&gt;=5,0.05,"erro")))))</f>
        <v>0.8</v>
      </c>
      <c r="AD138" s="17" t="b">
        <f>Template!$D138=Template!$M138</f>
        <v>0</v>
      </c>
      <c r="AE138" s="12" t="s">
        <v>58</v>
      </c>
    </row>
    <row r="139" ht="15.75" customHeight="1">
      <c r="A139" s="7" t="s">
        <v>190</v>
      </c>
      <c r="B139" s="7" t="s">
        <v>191</v>
      </c>
      <c r="C139" s="7" t="s">
        <v>202</v>
      </c>
      <c r="D139" s="13">
        <v>24071.0</v>
      </c>
      <c r="E139" s="7" t="s">
        <v>196</v>
      </c>
      <c r="F139" s="13"/>
      <c r="G139" s="14" t="s">
        <v>63</v>
      </c>
      <c r="H139" s="7" t="s">
        <v>194</v>
      </c>
      <c r="I139" s="7" t="s">
        <v>195</v>
      </c>
      <c r="J139" s="7" t="s">
        <v>70</v>
      </c>
      <c r="K139" s="15">
        <v>45082.0</v>
      </c>
      <c r="L139" s="15">
        <v>35862.0</v>
      </c>
      <c r="M139" s="13">
        <v>16949.0</v>
      </c>
      <c r="N139" s="7">
        <v>1846.0</v>
      </c>
      <c r="O139" s="7"/>
      <c r="P139" s="7">
        <v>13.33</v>
      </c>
      <c r="Q139" s="7"/>
      <c r="R139" s="20"/>
      <c r="S139" s="7"/>
      <c r="T139" s="20"/>
      <c r="U139" s="16">
        <f>SUM(Template!$N139:$O139)*Template!$P139+Template!$Q139</f>
        <v>24607.18</v>
      </c>
      <c r="V139" s="17" t="str">
        <f>IF(Template!$M139="CONSELHO","N",IF(Template!$AA139="N","N1",IF(Template!$AA139="N1","N2",IF(Template!$AA139="N2","N3",IF(Template!$AA139="N3","N4",IF(Template!$AA139="N4","N5",IF(Template!$AA139="N5","N6",IF(Template!$AA139="N6","N7",IF(Template!$AA139="N7","N8",IF(Template!$AA139="N8","N9",IF(Template!$AA139="N9","N10","NA")))))))))))</f>
        <v>N4</v>
      </c>
      <c r="W139" s="17">
        <f>COUNTIF(Template!$M$3:$M$619,Template!$D139)</f>
        <v>0</v>
      </c>
      <c r="X139" s="17" t="str">
        <f>IF(Template!$F139="","",SUMIF(Template!$M$3:$M$619,Template!$D139,Template!$AC$3:$AC$619))</f>
        <v/>
      </c>
      <c r="Y139" s="17" t="str">
        <f>IFERROR(VLOOKUP(Template!$M139,Template!$D$3:$G$619,MATCH("EmployeeJobTitle",Template!$D$2:$G$2,0),FALSE),"NA")</f>
        <v>GERENTE DE LOJA</v>
      </c>
      <c r="Z139" s="17" t="str">
        <f>IFERROR(VLOOKUP(Template!$M139,Template!$D$3:$G$619,MATCH("EmployeeGroup",Template!$D$2:$G$2,0),FALSE),"NA")</f>
        <v>GERENTE</v>
      </c>
      <c r="AA139" s="17" t="str">
        <f>IFERROR(VLOOKUP(Template!$M139,Template!$D$3:$V$619,MATCH("Layer",Template!$D$2:$V$2,0),FALSE),"NA")</f>
        <v>N3</v>
      </c>
      <c r="AB139" s="21">
        <f>VLOOKUP(Template!$M139,Template!$D$3:$F$619,MATCH("InternalGrade",Template!$D$2:$F$2,0),FALSE)-Template!$F139</f>
        <v>0</v>
      </c>
      <c r="AC139" s="17">
        <f>IF(Template!$AB139&lt;=1, 0.8,IF(Template!$AB139=2,0.4,IF(Template!$AB139=3,0.2,IF(Template!$AB139=4,0.1,IF(Template!$AB139&gt;=5,0.05,"erro")))))</f>
        <v>0.8</v>
      </c>
      <c r="AD139" s="17" t="b">
        <f>Template!$D139=Template!$M139</f>
        <v>0</v>
      </c>
      <c r="AE139" s="12" t="s">
        <v>58</v>
      </c>
    </row>
    <row r="140" ht="15.75" customHeight="1">
      <c r="A140" s="7" t="s">
        <v>190</v>
      </c>
      <c r="B140" s="7" t="s">
        <v>191</v>
      </c>
      <c r="C140" s="7" t="s">
        <v>202</v>
      </c>
      <c r="D140" s="13">
        <v>22500.0</v>
      </c>
      <c r="E140" s="7" t="s">
        <v>193</v>
      </c>
      <c r="F140" s="13"/>
      <c r="G140" s="14" t="s">
        <v>63</v>
      </c>
      <c r="H140" s="7" t="s">
        <v>194</v>
      </c>
      <c r="I140" s="7" t="s">
        <v>195</v>
      </c>
      <c r="J140" s="7" t="s">
        <v>70</v>
      </c>
      <c r="K140" s="15">
        <v>44882.0</v>
      </c>
      <c r="L140" s="15">
        <v>31717.0</v>
      </c>
      <c r="M140" s="13">
        <v>16949.0</v>
      </c>
      <c r="N140" s="7"/>
      <c r="O140" s="7"/>
      <c r="P140" s="7">
        <v>13.33</v>
      </c>
      <c r="Q140" s="7"/>
      <c r="R140" s="20"/>
      <c r="S140" s="7"/>
      <c r="T140" s="20"/>
      <c r="U140" s="16">
        <f>SUM(Template!$N140:$O140)*Template!$P140+Template!$Q140</f>
        <v>0</v>
      </c>
      <c r="V140" s="17" t="str">
        <f>IF(Template!$M140="CONSELHO","N",IF(Template!$AA140="N","N1",IF(Template!$AA140="N1","N2",IF(Template!$AA140="N2","N3",IF(Template!$AA140="N3","N4",IF(Template!$AA140="N4","N5",IF(Template!$AA140="N5","N6",IF(Template!$AA140="N6","N7",IF(Template!$AA140="N7","N8",IF(Template!$AA140="N8","N9",IF(Template!$AA140="N9","N10","NA")))))))))))</f>
        <v>N4</v>
      </c>
      <c r="W140" s="17">
        <f>COUNTIF(Template!$M$3:$M$619,Template!$D140)</f>
        <v>0</v>
      </c>
      <c r="X140" s="17" t="str">
        <f>IF(Template!$F140="","",SUMIF(Template!$M$3:$M$619,Template!$D140,Template!$AC$3:$AC$619))</f>
        <v/>
      </c>
      <c r="Y140" s="17" t="str">
        <f>IFERROR(VLOOKUP(Template!$M140,Template!$D$3:$G$619,MATCH("EmployeeJobTitle",Template!$D$2:$G$2,0),FALSE),"NA")</f>
        <v>GERENTE DE LOJA</v>
      </c>
      <c r="Z140" s="17" t="str">
        <f>IFERROR(VLOOKUP(Template!$M140,Template!$D$3:$G$619,MATCH("EmployeeGroup",Template!$D$2:$G$2,0),FALSE),"NA")</f>
        <v>GERENTE</v>
      </c>
      <c r="AA140" s="17" t="str">
        <f>IFERROR(VLOOKUP(Template!$M140,Template!$D$3:$V$619,MATCH("Layer",Template!$D$2:$V$2,0),FALSE),"NA")</f>
        <v>N3</v>
      </c>
      <c r="AB140" s="21">
        <f>VLOOKUP(Template!$M140,Template!$D$3:$F$619,MATCH("InternalGrade",Template!$D$2:$F$2,0),FALSE)-Template!$F140</f>
        <v>0</v>
      </c>
      <c r="AC140" s="17">
        <f>IF(Template!$AB140&lt;=1, 0.8,IF(Template!$AB140=2,0.4,IF(Template!$AB140=3,0.2,IF(Template!$AB140=4,0.1,IF(Template!$AB140&gt;=5,0.05,"erro")))))</f>
        <v>0.8</v>
      </c>
      <c r="AD140" s="17" t="b">
        <f>Template!$D140=Template!$M140</f>
        <v>0</v>
      </c>
      <c r="AE140" s="12" t="s">
        <v>58</v>
      </c>
    </row>
    <row r="141" ht="15.75" customHeight="1">
      <c r="A141" s="7" t="s">
        <v>190</v>
      </c>
      <c r="B141" s="7" t="s">
        <v>191</v>
      </c>
      <c r="C141" s="7" t="s">
        <v>202</v>
      </c>
      <c r="D141" s="13">
        <v>18056.0</v>
      </c>
      <c r="E141" s="7" t="s">
        <v>203</v>
      </c>
      <c r="F141" s="13"/>
      <c r="G141" s="14" t="s">
        <v>63</v>
      </c>
      <c r="H141" s="7" t="s">
        <v>194</v>
      </c>
      <c r="I141" s="7" t="s">
        <v>195</v>
      </c>
      <c r="J141" s="7" t="s">
        <v>70</v>
      </c>
      <c r="K141" s="15">
        <v>43787.0</v>
      </c>
      <c r="L141" s="15">
        <v>31609.0</v>
      </c>
      <c r="M141" s="13">
        <v>16949.0</v>
      </c>
      <c r="N141" s="7"/>
      <c r="O141" s="7"/>
      <c r="P141" s="7">
        <v>13.33</v>
      </c>
      <c r="Q141" s="7"/>
      <c r="R141" s="20"/>
      <c r="S141" s="7"/>
      <c r="T141" s="20"/>
      <c r="U141" s="16">
        <f>SUM(Template!$N141:$O141)*Template!$P141+Template!$Q141</f>
        <v>0</v>
      </c>
      <c r="V141" s="17" t="str">
        <f>IF(Template!$M141="CONSELHO","N",IF(Template!$AA141="N","N1",IF(Template!$AA141="N1","N2",IF(Template!$AA141="N2","N3",IF(Template!$AA141="N3","N4",IF(Template!$AA141="N4","N5",IF(Template!$AA141="N5","N6",IF(Template!$AA141="N6","N7",IF(Template!$AA141="N7","N8",IF(Template!$AA141="N8","N9",IF(Template!$AA141="N9","N10","NA")))))))))))</f>
        <v>N4</v>
      </c>
      <c r="W141" s="17">
        <f>COUNTIF(Template!$M$3:$M$619,Template!$D141)</f>
        <v>0</v>
      </c>
      <c r="X141" s="17" t="str">
        <f>IF(Template!$F141="","",SUMIF(Template!$M$3:$M$619,Template!$D141,Template!$AC$3:$AC$619))</f>
        <v/>
      </c>
      <c r="Y141" s="17" t="str">
        <f>IFERROR(VLOOKUP(Template!$M141,Template!$D$3:$G$619,MATCH("EmployeeJobTitle",Template!$D$2:$G$2,0),FALSE),"NA")</f>
        <v>GERENTE DE LOJA</v>
      </c>
      <c r="Z141" s="17" t="str">
        <f>IFERROR(VLOOKUP(Template!$M141,Template!$D$3:$G$619,MATCH("EmployeeGroup",Template!$D$2:$G$2,0),FALSE),"NA")</f>
        <v>GERENTE</v>
      </c>
      <c r="AA141" s="17" t="str">
        <f>IFERROR(VLOOKUP(Template!$M141,Template!$D$3:$V$619,MATCH("Layer",Template!$D$2:$V$2,0),FALSE),"NA")</f>
        <v>N3</v>
      </c>
      <c r="AB141" s="21">
        <f>VLOOKUP(Template!$M141,Template!$D$3:$F$619,MATCH("InternalGrade",Template!$D$2:$F$2,0),FALSE)-Template!$F141</f>
        <v>0</v>
      </c>
      <c r="AC141" s="17">
        <f>IF(Template!$AB141&lt;=1, 0.8,IF(Template!$AB141=2,0.4,IF(Template!$AB141=3,0.2,IF(Template!$AB141=4,0.1,IF(Template!$AB141&gt;=5,0.05,"erro")))))</f>
        <v>0.8</v>
      </c>
      <c r="AD141" s="17" t="b">
        <f>Template!$D141=Template!$M141</f>
        <v>0</v>
      </c>
      <c r="AE141" s="12" t="s">
        <v>58</v>
      </c>
    </row>
    <row r="142" ht="15.75" customHeight="1">
      <c r="A142" s="7" t="s">
        <v>190</v>
      </c>
      <c r="B142" s="7" t="s">
        <v>191</v>
      </c>
      <c r="C142" s="7" t="s">
        <v>202</v>
      </c>
      <c r="D142" s="13">
        <v>19857.0</v>
      </c>
      <c r="E142" s="7" t="s">
        <v>193</v>
      </c>
      <c r="F142" s="13"/>
      <c r="G142" s="14" t="s">
        <v>63</v>
      </c>
      <c r="H142" s="7" t="s">
        <v>194</v>
      </c>
      <c r="I142" s="7" t="s">
        <v>195</v>
      </c>
      <c r="J142" s="7" t="s">
        <v>70</v>
      </c>
      <c r="K142" s="15">
        <v>44487.0</v>
      </c>
      <c r="L142" s="15">
        <v>34454.0</v>
      </c>
      <c r="M142" s="13">
        <v>16949.0</v>
      </c>
      <c r="N142" s="7"/>
      <c r="O142" s="7"/>
      <c r="P142" s="7">
        <v>13.33</v>
      </c>
      <c r="Q142" s="7"/>
      <c r="R142" s="20"/>
      <c r="S142" s="7"/>
      <c r="T142" s="20"/>
      <c r="U142" s="16">
        <f>SUM(Template!$N142:$O142)*Template!$P142+Template!$Q142</f>
        <v>0</v>
      </c>
      <c r="V142" s="17" t="str">
        <f>IF(Template!$M142="CONSELHO","N",IF(Template!$AA142="N","N1",IF(Template!$AA142="N1","N2",IF(Template!$AA142="N2","N3",IF(Template!$AA142="N3","N4",IF(Template!$AA142="N4","N5",IF(Template!$AA142="N5","N6",IF(Template!$AA142="N6","N7",IF(Template!$AA142="N7","N8",IF(Template!$AA142="N8","N9",IF(Template!$AA142="N9","N10","NA")))))))))))</f>
        <v>N4</v>
      </c>
      <c r="W142" s="17">
        <f>COUNTIF(Template!$M$3:$M$619,Template!$D142)</f>
        <v>0</v>
      </c>
      <c r="X142" s="17" t="str">
        <f>IF(Template!$F142="","",SUMIF(Template!$M$3:$M$619,Template!$D142,Template!$AC$3:$AC$619))</f>
        <v/>
      </c>
      <c r="Y142" s="17" t="str">
        <f>IFERROR(VLOOKUP(Template!$M142,Template!$D$3:$G$619,MATCH("EmployeeJobTitle",Template!$D$2:$G$2,0),FALSE),"NA")</f>
        <v>GERENTE DE LOJA</v>
      </c>
      <c r="Z142" s="17" t="str">
        <f>IFERROR(VLOOKUP(Template!$M142,Template!$D$3:$G$619,MATCH("EmployeeGroup",Template!$D$2:$G$2,0),FALSE),"NA")</f>
        <v>GERENTE</v>
      </c>
      <c r="AA142" s="17" t="str">
        <f>IFERROR(VLOOKUP(Template!$M142,Template!$D$3:$V$619,MATCH("Layer",Template!$D$2:$V$2,0),FALSE),"NA")</f>
        <v>N3</v>
      </c>
      <c r="AB142" s="21">
        <f>VLOOKUP(Template!$M142,Template!$D$3:$F$619,MATCH("InternalGrade",Template!$D$2:$F$2,0),FALSE)-Template!$F142</f>
        <v>0</v>
      </c>
      <c r="AC142" s="17">
        <f>IF(Template!$AB142&lt;=1, 0.8,IF(Template!$AB142=2,0.4,IF(Template!$AB142=3,0.2,IF(Template!$AB142=4,0.1,IF(Template!$AB142&gt;=5,0.05,"erro")))))</f>
        <v>0.8</v>
      </c>
      <c r="AD142" s="17" t="b">
        <f>Template!$D142=Template!$M142</f>
        <v>0</v>
      </c>
      <c r="AE142" s="12" t="s">
        <v>58</v>
      </c>
    </row>
    <row r="143" ht="15.75" customHeight="1">
      <c r="A143" s="7" t="s">
        <v>190</v>
      </c>
      <c r="B143" s="7" t="s">
        <v>191</v>
      </c>
      <c r="C143" s="7" t="s">
        <v>202</v>
      </c>
      <c r="D143" s="13">
        <v>24566.0</v>
      </c>
      <c r="E143" s="7" t="s">
        <v>193</v>
      </c>
      <c r="F143" s="13"/>
      <c r="G143" s="14" t="s">
        <v>63</v>
      </c>
      <c r="H143" s="7" t="s">
        <v>194</v>
      </c>
      <c r="I143" s="7" t="s">
        <v>195</v>
      </c>
      <c r="J143" s="7" t="s">
        <v>70</v>
      </c>
      <c r="K143" s="15">
        <v>45236.0</v>
      </c>
      <c r="L143" s="15">
        <v>28261.0</v>
      </c>
      <c r="M143" s="13">
        <v>16949.0</v>
      </c>
      <c r="N143" s="7"/>
      <c r="O143" s="7"/>
      <c r="P143" s="7">
        <v>13.33</v>
      </c>
      <c r="Q143" s="7"/>
      <c r="R143" s="20"/>
      <c r="S143" s="7"/>
      <c r="T143" s="20"/>
      <c r="U143" s="16">
        <f>SUM(Template!$N143:$O143)*Template!$P143+Template!$Q143</f>
        <v>0</v>
      </c>
      <c r="V143" s="17" t="str">
        <f>IF(Template!$M143="CONSELHO","N",IF(Template!$AA143="N","N1",IF(Template!$AA143="N1","N2",IF(Template!$AA143="N2","N3",IF(Template!$AA143="N3","N4",IF(Template!$AA143="N4","N5",IF(Template!$AA143="N5","N6",IF(Template!$AA143="N6","N7",IF(Template!$AA143="N7","N8",IF(Template!$AA143="N8","N9",IF(Template!$AA143="N9","N10","NA")))))))))))</f>
        <v>N4</v>
      </c>
      <c r="W143" s="17">
        <f>COUNTIF(Template!$M$3:$M$619,Template!$D143)</f>
        <v>0</v>
      </c>
      <c r="X143" s="17" t="str">
        <f>IF(Template!$F143="","",SUMIF(Template!$M$3:$M$619,Template!$D143,Template!$AC$3:$AC$619))</f>
        <v/>
      </c>
      <c r="Y143" s="17" t="str">
        <f>IFERROR(VLOOKUP(Template!$M143,Template!$D$3:$G$619,MATCH("EmployeeJobTitle",Template!$D$2:$G$2,0),FALSE),"NA")</f>
        <v>GERENTE DE LOJA</v>
      </c>
      <c r="Z143" s="17" t="str">
        <f>IFERROR(VLOOKUP(Template!$M143,Template!$D$3:$G$619,MATCH("EmployeeGroup",Template!$D$2:$G$2,0),FALSE),"NA")</f>
        <v>GERENTE</v>
      </c>
      <c r="AA143" s="17" t="str">
        <f>IFERROR(VLOOKUP(Template!$M143,Template!$D$3:$V$619,MATCH("Layer",Template!$D$2:$V$2,0),FALSE),"NA")</f>
        <v>N3</v>
      </c>
      <c r="AB143" s="21">
        <f>VLOOKUP(Template!$M143,Template!$D$3:$F$619,MATCH("InternalGrade",Template!$D$2:$F$2,0),FALSE)-Template!$F143</f>
        <v>0</v>
      </c>
      <c r="AC143" s="17">
        <f>IF(Template!$AB143&lt;=1, 0.8,IF(Template!$AB143=2,0.4,IF(Template!$AB143=3,0.2,IF(Template!$AB143=4,0.1,IF(Template!$AB143&gt;=5,0.05,"erro")))))</f>
        <v>0.8</v>
      </c>
      <c r="AD143" s="17" t="b">
        <f>Template!$D143=Template!$M143</f>
        <v>0</v>
      </c>
      <c r="AE143" s="12" t="s">
        <v>58</v>
      </c>
    </row>
    <row r="144" ht="15.75" customHeight="1">
      <c r="A144" s="7" t="s">
        <v>190</v>
      </c>
      <c r="B144" s="7" t="s">
        <v>191</v>
      </c>
      <c r="C144" s="7" t="s">
        <v>202</v>
      </c>
      <c r="D144" s="13">
        <v>17574.0</v>
      </c>
      <c r="E144" s="7" t="s">
        <v>204</v>
      </c>
      <c r="F144" s="13"/>
      <c r="G144" s="14" t="s">
        <v>63</v>
      </c>
      <c r="H144" s="7" t="s">
        <v>194</v>
      </c>
      <c r="I144" s="7" t="s">
        <v>195</v>
      </c>
      <c r="J144" s="7" t="s">
        <v>70</v>
      </c>
      <c r="K144" s="15">
        <v>43528.0</v>
      </c>
      <c r="L144" s="15">
        <v>31922.0</v>
      </c>
      <c r="M144" s="13">
        <v>16949.0</v>
      </c>
      <c r="N144" s="7"/>
      <c r="O144" s="7"/>
      <c r="P144" s="7">
        <v>13.33</v>
      </c>
      <c r="Q144" s="7"/>
      <c r="R144" s="20"/>
      <c r="S144" s="7"/>
      <c r="T144" s="20"/>
      <c r="U144" s="16">
        <f>SUM(Template!$N144:$O144)*Template!$P144+Template!$Q144</f>
        <v>0</v>
      </c>
      <c r="V144" s="17" t="str">
        <f>IF(Template!$M144="CONSELHO","N",IF(Template!$AA144="N","N1",IF(Template!$AA144="N1","N2",IF(Template!$AA144="N2","N3",IF(Template!$AA144="N3","N4",IF(Template!$AA144="N4","N5",IF(Template!$AA144="N5","N6",IF(Template!$AA144="N6","N7",IF(Template!$AA144="N7","N8",IF(Template!$AA144="N8","N9",IF(Template!$AA144="N9","N10","NA")))))))))))</f>
        <v>N4</v>
      </c>
      <c r="W144" s="17">
        <f>COUNTIF(Template!$M$3:$M$619,Template!$D144)</f>
        <v>0</v>
      </c>
      <c r="X144" s="17" t="str">
        <f>IF(Template!$F144="","",SUMIF(Template!$M$3:$M$619,Template!$D144,Template!$AC$3:$AC$619))</f>
        <v/>
      </c>
      <c r="Y144" s="17" t="str">
        <f>IFERROR(VLOOKUP(Template!$M144,Template!$D$3:$G$619,MATCH("EmployeeJobTitle",Template!$D$2:$G$2,0),FALSE),"NA")</f>
        <v>GERENTE DE LOJA</v>
      </c>
      <c r="Z144" s="17" t="str">
        <f>IFERROR(VLOOKUP(Template!$M144,Template!$D$3:$G$619,MATCH("EmployeeGroup",Template!$D$2:$G$2,0),FALSE),"NA")</f>
        <v>GERENTE</v>
      </c>
      <c r="AA144" s="17" t="str">
        <f>IFERROR(VLOOKUP(Template!$M144,Template!$D$3:$V$619,MATCH("Layer",Template!$D$2:$V$2,0),FALSE),"NA")</f>
        <v>N3</v>
      </c>
      <c r="AB144" s="21">
        <f>VLOOKUP(Template!$M144,Template!$D$3:$F$619,MATCH("InternalGrade",Template!$D$2:$F$2,0),FALSE)-Template!$F144</f>
        <v>0</v>
      </c>
      <c r="AC144" s="17">
        <f>IF(Template!$AB144&lt;=1, 0.8,IF(Template!$AB144=2,0.4,IF(Template!$AB144=3,0.2,IF(Template!$AB144=4,0.1,IF(Template!$AB144&gt;=5,0.05,"erro")))))</f>
        <v>0.8</v>
      </c>
      <c r="AD144" s="17" t="b">
        <f>Template!$D144=Template!$M144</f>
        <v>0</v>
      </c>
      <c r="AE144" s="12" t="s">
        <v>58</v>
      </c>
    </row>
    <row r="145" ht="15.75" customHeight="1">
      <c r="A145" s="7" t="s">
        <v>190</v>
      </c>
      <c r="B145" s="7" t="s">
        <v>191</v>
      </c>
      <c r="C145" s="7" t="s">
        <v>202</v>
      </c>
      <c r="D145" s="13">
        <v>19903.0</v>
      </c>
      <c r="E145" s="7" t="s">
        <v>198</v>
      </c>
      <c r="F145" s="13"/>
      <c r="G145" s="14" t="s">
        <v>63</v>
      </c>
      <c r="H145" s="7" t="s">
        <v>194</v>
      </c>
      <c r="I145" s="7" t="s">
        <v>195</v>
      </c>
      <c r="J145" s="7" t="s">
        <v>70</v>
      </c>
      <c r="K145" s="15">
        <v>44503.0</v>
      </c>
      <c r="L145" s="15">
        <v>28976.0</v>
      </c>
      <c r="M145" s="13">
        <v>16949.0</v>
      </c>
      <c r="N145" s="7">
        <v>1624.0</v>
      </c>
      <c r="O145" s="7"/>
      <c r="P145" s="7">
        <v>13.33</v>
      </c>
      <c r="Q145" s="7"/>
      <c r="R145" s="20"/>
      <c r="S145" s="7"/>
      <c r="T145" s="20"/>
      <c r="U145" s="16">
        <f>SUM(Template!$N145:$O145)*Template!$P145+Template!$Q145</f>
        <v>21647.92</v>
      </c>
      <c r="V145" s="17" t="str">
        <f>IF(Template!$M145="CONSELHO","N",IF(Template!$AA145="N","N1",IF(Template!$AA145="N1","N2",IF(Template!$AA145="N2","N3",IF(Template!$AA145="N3","N4",IF(Template!$AA145="N4","N5",IF(Template!$AA145="N5","N6",IF(Template!$AA145="N6","N7",IF(Template!$AA145="N7","N8",IF(Template!$AA145="N8","N9",IF(Template!$AA145="N9","N10","NA")))))))))))</f>
        <v>N4</v>
      </c>
      <c r="W145" s="17">
        <f>COUNTIF(Template!$M$3:$M$619,Template!$D145)</f>
        <v>0</v>
      </c>
      <c r="X145" s="17" t="str">
        <f>IF(Template!$F145="","",SUMIF(Template!$M$3:$M$619,Template!$D145,Template!$AC$3:$AC$619))</f>
        <v/>
      </c>
      <c r="Y145" s="17" t="str">
        <f>IFERROR(VLOOKUP(Template!$M145,Template!$D$3:$G$619,MATCH("EmployeeJobTitle",Template!$D$2:$G$2,0),FALSE),"NA")</f>
        <v>GERENTE DE LOJA</v>
      </c>
      <c r="Z145" s="17" t="str">
        <f>IFERROR(VLOOKUP(Template!$M145,Template!$D$3:$G$619,MATCH("EmployeeGroup",Template!$D$2:$G$2,0),FALSE),"NA")</f>
        <v>GERENTE</v>
      </c>
      <c r="AA145" s="17" t="str">
        <f>IFERROR(VLOOKUP(Template!$M145,Template!$D$3:$V$619,MATCH("Layer",Template!$D$2:$V$2,0),FALSE),"NA")</f>
        <v>N3</v>
      </c>
      <c r="AB145" s="21">
        <f>VLOOKUP(Template!$M145,Template!$D$3:$F$619,MATCH("InternalGrade",Template!$D$2:$F$2,0),FALSE)-Template!$F145</f>
        <v>0</v>
      </c>
      <c r="AC145" s="17">
        <f>IF(Template!$AB145&lt;=1, 0.8,IF(Template!$AB145=2,0.4,IF(Template!$AB145=3,0.2,IF(Template!$AB145=4,0.1,IF(Template!$AB145&gt;=5,0.05,"erro")))))</f>
        <v>0.8</v>
      </c>
      <c r="AD145" s="17" t="b">
        <f>Template!$D145=Template!$M145</f>
        <v>0</v>
      </c>
      <c r="AE145" s="12" t="s">
        <v>58</v>
      </c>
    </row>
    <row r="146" ht="15.75" customHeight="1">
      <c r="A146" s="7" t="s">
        <v>190</v>
      </c>
      <c r="B146" s="7" t="s">
        <v>191</v>
      </c>
      <c r="C146" s="7" t="s">
        <v>202</v>
      </c>
      <c r="D146" s="13">
        <v>25262.0</v>
      </c>
      <c r="E146" s="7" t="s">
        <v>193</v>
      </c>
      <c r="F146" s="13"/>
      <c r="G146" s="14" t="s">
        <v>63</v>
      </c>
      <c r="H146" s="7" t="s">
        <v>194</v>
      </c>
      <c r="I146" s="7" t="s">
        <v>195</v>
      </c>
      <c r="J146" s="7" t="s">
        <v>70</v>
      </c>
      <c r="K146" s="15">
        <v>45509.0</v>
      </c>
      <c r="L146" s="15">
        <v>33566.0</v>
      </c>
      <c r="M146" s="13">
        <v>16949.0</v>
      </c>
      <c r="N146" s="7"/>
      <c r="O146" s="7"/>
      <c r="P146" s="7">
        <v>13.33</v>
      </c>
      <c r="Q146" s="7"/>
      <c r="R146" s="20"/>
      <c r="S146" s="7"/>
      <c r="T146" s="20"/>
      <c r="U146" s="16">
        <f>SUM(Template!$N146:$O146)*Template!$P146+Template!$Q146</f>
        <v>0</v>
      </c>
      <c r="V146" s="17" t="str">
        <f>IF(Template!$M146="CONSELHO","N",IF(Template!$AA146="N","N1",IF(Template!$AA146="N1","N2",IF(Template!$AA146="N2","N3",IF(Template!$AA146="N3","N4",IF(Template!$AA146="N4","N5",IF(Template!$AA146="N5","N6",IF(Template!$AA146="N6","N7",IF(Template!$AA146="N7","N8",IF(Template!$AA146="N8","N9",IF(Template!$AA146="N9","N10","NA")))))))))))</f>
        <v>N4</v>
      </c>
      <c r="W146" s="17">
        <f>COUNTIF(Template!$M$3:$M$619,Template!$D146)</f>
        <v>0</v>
      </c>
      <c r="X146" s="17" t="str">
        <f>IF(Template!$F146="","",SUMIF(Template!$M$3:$M$619,Template!$D146,Template!$AC$3:$AC$619))</f>
        <v/>
      </c>
      <c r="Y146" s="17" t="str">
        <f>IFERROR(VLOOKUP(Template!$M146,Template!$D$3:$G$619,MATCH("EmployeeJobTitle",Template!$D$2:$G$2,0),FALSE),"NA")</f>
        <v>GERENTE DE LOJA</v>
      </c>
      <c r="Z146" s="17" t="str">
        <f>IFERROR(VLOOKUP(Template!$M146,Template!$D$3:$G$619,MATCH("EmployeeGroup",Template!$D$2:$G$2,0),FALSE),"NA")</f>
        <v>GERENTE</v>
      </c>
      <c r="AA146" s="17" t="str">
        <f>IFERROR(VLOOKUP(Template!$M146,Template!$D$3:$V$619,MATCH("Layer",Template!$D$2:$V$2,0),FALSE),"NA")</f>
        <v>N3</v>
      </c>
      <c r="AB146" s="21">
        <f>VLOOKUP(Template!$M146,Template!$D$3:$F$619,MATCH("InternalGrade",Template!$D$2:$F$2,0),FALSE)-Template!$F146</f>
        <v>0</v>
      </c>
      <c r="AC146" s="17">
        <f>IF(Template!$AB146&lt;=1, 0.8,IF(Template!$AB146=2,0.4,IF(Template!$AB146=3,0.2,IF(Template!$AB146=4,0.1,IF(Template!$AB146&gt;=5,0.05,"erro")))))</f>
        <v>0.8</v>
      </c>
      <c r="AD146" s="17" t="b">
        <f>Template!$D146=Template!$M146</f>
        <v>0</v>
      </c>
      <c r="AE146" s="12" t="s">
        <v>58</v>
      </c>
    </row>
    <row r="147" ht="15.75" customHeight="1">
      <c r="A147" s="7" t="s">
        <v>190</v>
      </c>
      <c r="B147" s="7" t="s">
        <v>191</v>
      </c>
      <c r="C147" s="7" t="s">
        <v>202</v>
      </c>
      <c r="D147" s="13">
        <v>17075.0</v>
      </c>
      <c r="E147" s="7" t="s">
        <v>193</v>
      </c>
      <c r="F147" s="13"/>
      <c r="G147" s="14" t="s">
        <v>63</v>
      </c>
      <c r="H147" s="7" t="s">
        <v>194</v>
      </c>
      <c r="I147" s="7" t="s">
        <v>195</v>
      </c>
      <c r="J147" s="7" t="s">
        <v>70</v>
      </c>
      <c r="K147" s="15">
        <v>43360.0</v>
      </c>
      <c r="L147" s="15">
        <v>32718.0</v>
      </c>
      <c r="M147" s="13">
        <v>16949.0</v>
      </c>
      <c r="N147" s="7"/>
      <c r="O147" s="7"/>
      <c r="P147" s="7">
        <v>13.33</v>
      </c>
      <c r="Q147" s="7"/>
      <c r="R147" s="20"/>
      <c r="S147" s="7"/>
      <c r="T147" s="20"/>
      <c r="U147" s="16">
        <f>SUM(Template!$N147:$O147)*Template!$P147+Template!$Q147</f>
        <v>0</v>
      </c>
      <c r="V147" s="17" t="str">
        <f>IF(Template!$M147="CONSELHO","N",IF(Template!$AA147="N","N1",IF(Template!$AA147="N1","N2",IF(Template!$AA147="N2","N3",IF(Template!$AA147="N3","N4",IF(Template!$AA147="N4","N5",IF(Template!$AA147="N5","N6",IF(Template!$AA147="N6","N7",IF(Template!$AA147="N7","N8",IF(Template!$AA147="N8","N9",IF(Template!$AA147="N9","N10","NA")))))))))))</f>
        <v>N4</v>
      </c>
      <c r="W147" s="17">
        <f>COUNTIF(Template!$M$3:$M$619,Template!$D147)</f>
        <v>0</v>
      </c>
      <c r="X147" s="17" t="str">
        <f>IF(Template!$F147="","",SUMIF(Template!$M$3:$M$619,Template!$D147,Template!$AC$3:$AC$619))</f>
        <v/>
      </c>
      <c r="Y147" s="17" t="str">
        <f>IFERROR(VLOOKUP(Template!$M147,Template!$D$3:$G$619,MATCH("EmployeeJobTitle",Template!$D$2:$G$2,0),FALSE),"NA")</f>
        <v>GERENTE DE LOJA</v>
      </c>
      <c r="Z147" s="17" t="str">
        <f>IFERROR(VLOOKUP(Template!$M147,Template!$D$3:$G$619,MATCH("EmployeeGroup",Template!$D$2:$G$2,0),FALSE),"NA")</f>
        <v>GERENTE</v>
      </c>
      <c r="AA147" s="17" t="str">
        <f>IFERROR(VLOOKUP(Template!$M147,Template!$D$3:$V$619,MATCH("Layer",Template!$D$2:$V$2,0),FALSE),"NA")</f>
        <v>N3</v>
      </c>
      <c r="AB147" s="21">
        <f>VLOOKUP(Template!$M147,Template!$D$3:$F$619,MATCH("InternalGrade",Template!$D$2:$F$2,0),FALSE)-Template!$F147</f>
        <v>0</v>
      </c>
      <c r="AC147" s="17">
        <f>IF(Template!$AB147&lt;=1, 0.8,IF(Template!$AB147=2,0.4,IF(Template!$AB147=3,0.2,IF(Template!$AB147=4,0.1,IF(Template!$AB147&gt;=5,0.05,"erro")))))</f>
        <v>0.8</v>
      </c>
      <c r="AD147" s="17" t="b">
        <f>Template!$D147=Template!$M147</f>
        <v>0</v>
      </c>
      <c r="AE147" s="12" t="s">
        <v>58</v>
      </c>
    </row>
    <row r="148" ht="15.75" customHeight="1">
      <c r="A148" s="7" t="s">
        <v>190</v>
      </c>
      <c r="B148" s="7" t="s">
        <v>191</v>
      </c>
      <c r="C148" s="7" t="s">
        <v>202</v>
      </c>
      <c r="D148" s="13">
        <v>25410.0</v>
      </c>
      <c r="E148" s="7" t="s">
        <v>196</v>
      </c>
      <c r="F148" s="13"/>
      <c r="G148" s="14" t="s">
        <v>63</v>
      </c>
      <c r="H148" s="7" t="s">
        <v>194</v>
      </c>
      <c r="I148" s="7" t="s">
        <v>195</v>
      </c>
      <c r="J148" s="7" t="s">
        <v>70</v>
      </c>
      <c r="K148" s="15">
        <v>45566.0</v>
      </c>
      <c r="L148" s="15">
        <v>28614.0</v>
      </c>
      <c r="M148" s="13">
        <v>16949.0</v>
      </c>
      <c r="N148" s="7">
        <v>1780.0</v>
      </c>
      <c r="O148" s="7"/>
      <c r="P148" s="7">
        <v>13.33</v>
      </c>
      <c r="Q148" s="7"/>
      <c r="R148" s="20"/>
      <c r="S148" s="7"/>
      <c r="T148" s="20"/>
      <c r="U148" s="16">
        <f>SUM(Template!$N148:$O148)*Template!$P148+Template!$Q148</f>
        <v>23727.4</v>
      </c>
      <c r="V148" s="17" t="str">
        <f>IF(Template!$M148="CONSELHO","N",IF(Template!$AA148="N","N1",IF(Template!$AA148="N1","N2",IF(Template!$AA148="N2","N3",IF(Template!$AA148="N3","N4",IF(Template!$AA148="N4","N5",IF(Template!$AA148="N5","N6",IF(Template!$AA148="N6","N7",IF(Template!$AA148="N7","N8",IF(Template!$AA148="N8","N9",IF(Template!$AA148="N9","N10","NA")))))))))))</f>
        <v>N4</v>
      </c>
      <c r="W148" s="17">
        <f>COUNTIF(Template!$M$3:$M$619,Template!$D148)</f>
        <v>0</v>
      </c>
      <c r="X148" s="17" t="str">
        <f>IF(Template!$F148="","",SUMIF(Template!$M$3:$M$619,Template!$D148,Template!$AC$3:$AC$619))</f>
        <v/>
      </c>
      <c r="Y148" s="17" t="str">
        <f>IFERROR(VLOOKUP(Template!$M148,Template!$D$3:$G$619,MATCH("EmployeeJobTitle",Template!$D$2:$G$2,0),FALSE),"NA")</f>
        <v>GERENTE DE LOJA</v>
      </c>
      <c r="Z148" s="17" t="str">
        <f>IFERROR(VLOOKUP(Template!$M148,Template!$D$3:$G$619,MATCH("EmployeeGroup",Template!$D$2:$G$2,0),FALSE),"NA")</f>
        <v>GERENTE</v>
      </c>
      <c r="AA148" s="17" t="str">
        <f>IFERROR(VLOOKUP(Template!$M148,Template!$D$3:$V$619,MATCH("Layer",Template!$D$2:$V$2,0),FALSE),"NA")</f>
        <v>N3</v>
      </c>
      <c r="AB148" s="21">
        <f>VLOOKUP(Template!$M148,Template!$D$3:$F$619,MATCH("InternalGrade",Template!$D$2:$F$2,0),FALSE)-Template!$F148</f>
        <v>0</v>
      </c>
      <c r="AC148" s="17">
        <f>IF(Template!$AB148&lt;=1, 0.8,IF(Template!$AB148=2,0.4,IF(Template!$AB148=3,0.2,IF(Template!$AB148=4,0.1,IF(Template!$AB148&gt;=5,0.05,"erro")))))</f>
        <v>0.8</v>
      </c>
      <c r="AD148" s="17" t="b">
        <f>Template!$D148=Template!$M148</f>
        <v>0</v>
      </c>
      <c r="AE148" s="12" t="s">
        <v>58</v>
      </c>
    </row>
    <row r="149" ht="15.75" customHeight="1">
      <c r="A149" s="7" t="s">
        <v>190</v>
      </c>
      <c r="B149" s="7" t="s">
        <v>191</v>
      </c>
      <c r="C149" s="7" t="s">
        <v>202</v>
      </c>
      <c r="D149" s="13">
        <v>24397.0</v>
      </c>
      <c r="E149" s="7" t="s">
        <v>201</v>
      </c>
      <c r="F149" s="13"/>
      <c r="G149" s="14" t="s">
        <v>63</v>
      </c>
      <c r="H149" s="7" t="s">
        <v>194</v>
      </c>
      <c r="I149" s="7" t="s">
        <v>195</v>
      </c>
      <c r="J149" s="7" t="s">
        <v>70</v>
      </c>
      <c r="K149" s="15">
        <v>45219.0</v>
      </c>
      <c r="L149" s="15">
        <v>38426.0</v>
      </c>
      <c r="M149" s="13">
        <v>16949.0</v>
      </c>
      <c r="N149" s="7">
        <v>995.08</v>
      </c>
      <c r="O149" s="7"/>
      <c r="P149" s="7">
        <v>13.33</v>
      </c>
      <c r="Q149" s="7"/>
      <c r="R149" s="20"/>
      <c r="S149" s="7"/>
      <c r="T149" s="20"/>
      <c r="U149" s="16">
        <f>SUM(Template!$N149:$O149)*Template!$P149+Template!$Q149</f>
        <v>13264.4164</v>
      </c>
      <c r="V149" s="17" t="str">
        <f>IF(Template!$M149="CONSELHO","N",IF(Template!$AA149="N","N1",IF(Template!$AA149="N1","N2",IF(Template!$AA149="N2","N3",IF(Template!$AA149="N3","N4",IF(Template!$AA149="N4","N5",IF(Template!$AA149="N5","N6",IF(Template!$AA149="N6","N7",IF(Template!$AA149="N7","N8",IF(Template!$AA149="N8","N9",IF(Template!$AA149="N9","N10","NA")))))))))))</f>
        <v>N4</v>
      </c>
      <c r="W149" s="17">
        <f>COUNTIF(Template!$M$3:$M$619,Template!$D149)</f>
        <v>0</v>
      </c>
      <c r="X149" s="17" t="str">
        <f>IF(Template!$F149="","",SUMIF(Template!$M$3:$M$619,Template!$D149,Template!$AC$3:$AC$619))</f>
        <v/>
      </c>
      <c r="Y149" s="17" t="str">
        <f>IFERROR(VLOOKUP(Template!$M149,Template!$D$3:$G$619,MATCH("EmployeeJobTitle",Template!$D$2:$G$2,0),FALSE),"NA")</f>
        <v>GERENTE DE LOJA</v>
      </c>
      <c r="Z149" s="17" t="str">
        <f>IFERROR(VLOOKUP(Template!$M149,Template!$D$3:$G$619,MATCH("EmployeeGroup",Template!$D$2:$G$2,0),FALSE),"NA")</f>
        <v>GERENTE</v>
      </c>
      <c r="AA149" s="17" t="str">
        <f>IFERROR(VLOOKUP(Template!$M149,Template!$D$3:$V$619,MATCH("Layer",Template!$D$2:$V$2,0),FALSE),"NA")</f>
        <v>N3</v>
      </c>
      <c r="AB149" s="21">
        <f>VLOOKUP(Template!$M149,Template!$D$3:$F$619,MATCH("InternalGrade",Template!$D$2:$F$2,0),FALSE)-Template!$F149</f>
        <v>0</v>
      </c>
      <c r="AC149" s="17">
        <f>IF(Template!$AB149&lt;=1, 0.8,IF(Template!$AB149=2,0.4,IF(Template!$AB149=3,0.2,IF(Template!$AB149=4,0.1,IF(Template!$AB149&gt;=5,0.05,"erro")))))</f>
        <v>0.8</v>
      </c>
      <c r="AD149" s="17" t="b">
        <f>Template!$D149=Template!$M149</f>
        <v>0</v>
      </c>
      <c r="AE149" s="12" t="s">
        <v>58</v>
      </c>
    </row>
    <row r="150" ht="15.75" customHeight="1">
      <c r="A150" s="7" t="s">
        <v>190</v>
      </c>
      <c r="B150" s="7" t="s">
        <v>191</v>
      </c>
      <c r="C150" s="7" t="s">
        <v>205</v>
      </c>
      <c r="D150" s="13">
        <v>20527.0</v>
      </c>
      <c r="E150" s="7" t="s">
        <v>206</v>
      </c>
      <c r="F150" s="13"/>
      <c r="G150" s="14" t="s">
        <v>63</v>
      </c>
      <c r="H150" s="7" t="s">
        <v>194</v>
      </c>
      <c r="I150" s="7" t="s">
        <v>195</v>
      </c>
      <c r="J150" s="7" t="s">
        <v>70</v>
      </c>
      <c r="K150" s="15">
        <v>44683.0</v>
      </c>
      <c r="L150" s="15">
        <v>32576.0</v>
      </c>
      <c r="M150" s="13">
        <v>25270.0</v>
      </c>
      <c r="N150" s="7">
        <v>1565.0</v>
      </c>
      <c r="O150" s="7"/>
      <c r="P150" s="7">
        <v>13.33</v>
      </c>
      <c r="Q150" s="7"/>
      <c r="R150" s="20"/>
      <c r="S150" s="7"/>
      <c r="T150" s="20"/>
      <c r="U150" s="16">
        <f>SUM(Template!$N150:$O150)*Template!$P150+Template!$Q150</f>
        <v>20861.45</v>
      </c>
      <c r="V150" s="17" t="str">
        <f>IF(Template!$M150="CONSELHO","N",IF(Template!$AA150="N","N1",IF(Template!$AA150="N1","N2",IF(Template!$AA150="N2","N3",IF(Template!$AA150="N3","N4",IF(Template!$AA150="N4","N5",IF(Template!$AA150="N5","N6",IF(Template!$AA150="N6","N7",IF(Template!$AA150="N7","N8",IF(Template!$AA150="N8","N9",IF(Template!$AA150="N9","N10","NA")))))))))))</f>
        <v>N4</v>
      </c>
      <c r="W150" s="17">
        <f>COUNTIF(Template!$M$3:$M$619,Template!$D150)</f>
        <v>0</v>
      </c>
      <c r="X150" s="17" t="str">
        <f>IF(Template!$F150="","",SUMIF(Template!$M$3:$M$619,Template!$D150,Template!$AC$3:$AC$619))</f>
        <v/>
      </c>
      <c r="Y150" s="17" t="str">
        <f>IFERROR(VLOOKUP(Template!$M150,Template!$D$3:$G$619,MATCH("EmployeeJobTitle",Template!$D$2:$G$2,0),FALSE),"NA")</f>
        <v>GERENTE DE LOJA SR</v>
      </c>
      <c r="Z150" s="17" t="str">
        <f>IFERROR(VLOOKUP(Template!$M150,Template!$D$3:$G$619,MATCH("EmployeeGroup",Template!$D$2:$G$2,0),FALSE),"NA")</f>
        <v>GERENTE</v>
      </c>
      <c r="AA150" s="17" t="str">
        <f>IFERROR(VLOOKUP(Template!$M150,Template!$D$3:$V$619,MATCH("Layer",Template!$D$2:$V$2,0),FALSE),"NA")</f>
        <v>N3</v>
      </c>
      <c r="AB150" s="21">
        <f>VLOOKUP(Template!$M150,Template!$D$3:$F$619,MATCH("InternalGrade",Template!$D$2:$F$2,0),FALSE)-Template!$F150</f>
        <v>0</v>
      </c>
      <c r="AC150" s="17">
        <f>IF(Template!$AB150&lt;=1, 0.8,IF(Template!$AB150=2,0.4,IF(Template!$AB150=3,0.2,IF(Template!$AB150=4,0.1,IF(Template!$AB150&gt;=5,0.05,"erro")))))</f>
        <v>0.8</v>
      </c>
      <c r="AD150" s="17" t="b">
        <f>Template!$D150=Template!$M150</f>
        <v>0</v>
      </c>
      <c r="AE150" s="12" t="s">
        <v>58</v>
      </c>
    </row>
    <row r="151" ht="15.75" customHeight="1">
      <c r="A151" s="7" t="s">
        <v>190</v>
      </c>
      <c r="B151" s="7" t="s">
        <v>191</v>
      </c>
      <c r="C151" s="7" t="s">
        <v>205</v>
      </c>
      <c r="D151" s="13">
        <v>22512.0</v>
      </c>
      <c r="E151" s="7" t="s">
        <v>193</v>
      </c>
      <c r="F151" s="13"/>
      <c r="G151" s="14" t="s">
        <v>63</v>
      </c>
      <c r="H151" s="7" t="s">
        <v>194</v>
      </c>
      <c r="I151" s="7" t="s">
        <v>195</v>
      </c>
      <c r="J151" s="7" t="s">
        <v>70</v>
      </c>
      <c r="K151" s="15">
        <v>44882.0</v>
      </c>
      <c r="L151" s="15">
        <v>26997.0</v>
      </c>
      <c r="M151" s="13">
        <v>25270.0</v>
      </c>
      <c r="N151" s="7"/>
      <c r="O151" s="7"/>
      <c r="P151" s="7">
        <v>13.33</v>
      </c>
      <c r="Q151" s="7"/>
      <c r="R151" s="20"/>
      <c r="S151" s="7"/>
      <c r="T151" s="20"/>
      <c r="U151" s="16">
        <f>SUM(Template!$N151:$O151)*Template!$P151+Template!$Q151</f>
        <v>0</v>
      </c>
      <c r="V151" s="17" t="str">
        <f>IF(Template!$M151="CONSELHO","N",IF(Template!$AA151="N","N1",IF(Template!$AA151="N1","N2",IF(Template!$AA151="N2","N3",IF(Template!$AA151="N3","N4",IF(Template!$AA151="N4","N5",IF(Template!$AA151="N5","N6",IF(Template!$AA151="N6","N7",IF(Template!$AA151="N7","N8",IF(Template!$AA151="N8","N9",IF(Template!$AA151="N9","N10","NA")))))))))))</f>
        <v>N4</v>
      </c>
      <c r="W151" s="17">
        <f>COUNTIF(Template!$M$3:$M$619,Template!$D151)</f>
        <v>0</v>
      </c>
      <c r="X151" s="17" t="str">
        <f>IF(Template!$F151="","",SUMIF(Template!$M$3:$M$619,Template!$D151,Template!$AC$3:$AC$619))</f>
        <v/>
      </c>
      <c r="Y151" s="17" t="str">
        <f>IFERROR(VLOOKUP(Template!$M151,Template!$D$3:$G$619,MATCH("EmployeeJobTitle",Template!$D$2:$G$2,0),FALSE),"NA")</f>
        <v>GERENTE DE LOJA SR</v>
      </c>
      <c r="Z151" s="17" t="str">
        <f>IFERROR(VLOOKUP(Template!$M151,Template!$D$3:$G$619,MATCH("EmployeeGroup",Template!$D$2:$G$2,0),FALSE),"NA")</f>
        <v>GERENTE</v>
      </c>
      <c r="AA151" s="17" t="str">
        <f>IFERROR(VLOOKUP(Template!$M151,Template!$D$3:$V$619,MATCH("Layer",Template!$D$2:$V$2,0),FALSE),"NA")</f>
        <v>N3</v>
      </c>
      <c r="AB151" s="21">
        <f>VLOOKUP(Template!$M151,Template!$D$3:$F$619,MATCH("InternalGrade",Template!$D$2:$F$2,0),FALSE)-Template!$F151</f>
        <v>0</v>
      </c>
      <c r="AC151" s="17">
        <f>IF(Template!$AB151&lt;=1, 0.8,IF(Template!$AB151=2,0.4,IF(Template!$AB151=3,0.2,IF(Template!$AB151=4,0.1,IF(Template!$AB151&gt;=5,0.05,"erro")))))</f>
        <v>0.8</v>
      </c>
      <c r="AD151" s="17" t="b">
        <f>Template!$D151=Template!$M151</f>
        <v>0</v>
      </c>
      <c r="AE151" s="12" t="s">
        <v>58</v>
      </c>
    </row>
    <row r="152" ht="15.75" customHeight="1">
      <c r="A152" s="7" t="s">
        <v>190</v>
      </c>
      <c r="B152" s="7" t="s">
        <v>191</v>
      </c>
      <c r="C152" s="7" t="s">
        <v>205</v>
      </c>
      <c r="D152" s="13">
        <v>22354.0</v>
      </c>
      <c r="E152" s="7" t="s">
        <v>196</v>
      </c>
      <c r="F152" s="13"/>
      <c r="G152" s="14" t="s">
        <v>63</v>
      </c>
      <c r="H152" s="7" t="s">
        <v>194</v>
      </c>
      <c r="I152" s="7" t="s">
        <v>195</v>
      </c>
      <c r="J152" s="7" t="s">
        <v>70</v>
      </c>
      <c r="K152" s="15">
        <v>44866.0</v>
      </c>
      <c r="L152" s="15">
        <v>30651.0</v>
      </c>
      <c r="M152" s="13">
        <v>25270.0</v>
      </c>
      <c r="N152" s="7">
        <v>1936.0</v>
      </c>
      <c r="O152" s="7"/>
      <c r="P152" s="7">
        <v>13.33</v>
      </c>
      <c r="Q152" s="7"/>
      <c r="R152" s="20"/>
      <c r="S152" s="7"/>
      <c r="T152" s="20"/>
      <c r="U152" s="16">
        <f>SUM(Template!$N152:$O152)*Template!$P152+Template!$Q152</f>
        <v>25806.88</v>
      </c>
      <c r="V152" s="17" t="str">
        <f>IF(Template!$M152="CONSELHO","N",IF(Template!$AA152="N","N1",IF(Template!$AA152="N1","N2",IF(Template!$AA152="N2","N3",IF(Template!$AA152="N3","N4",IF(Template!$AA152="N4","N5",IF(Template!$AA152="N5","N6",IF(Template!$AA152="N6","N7",IF(Template!$AA152="N7","N8",IF(Template!$AA152="N8","N9",IF(Template!$AA152="N9","N10","NA")))))))))))</f>
        <v>N4</v>
      </c>
      <c r="W152" s="17">
        <f>COUNTIF(Template!$M$3:$M$619,Template!$D152)</f>
        <v>0</v>
      </c>
      <c r="X152" s="17" t="str">
        <f>IF(Template!$F152="","",SUMIF(Template!$M$3:$M$619,Template!$D152,Template!$AC$3:$AC$619))</f>
        <v/>
      </c>
      <c r="Y152" s="17" t="str">
        <f>IFERROR(VLOOKUP(Template!$M152,Template!$D$3:$G$619,MATCH("EmployeeJobTitle",Template!$D$2:$G$2,0),FALSE),"NA")</f>
        <v>GERENTE DE LOJA SR</v>
      </c>
      <c r="Z152" s="17" t="str">
        <f>IFERROR(VLOOKUP(Template!$M152,Template!$D$3:$G$619,MATCH("EmployeeGroup",Template!$D$2:$G$2,0),FALSE),"NA")</f>
        <v>GERENTE</v>
      </c>
      <c r="AA152" s="17" t="str">
        <f>IFERROR(VLOOKUP(Template!$M152,Template!$D$3:$V$619,MATCH("Layer",Template!$D$2:$V$2,0),FALSE),"NA")</f>
        <v>N3</v>
      </c>
      <c r="AB152" s="21">
        <f>VLOOKUP(Template!$M152,Template!$D$3:$F$619,MATCH("InternalGrade",Template!$D$2:$F$2,0),FALSE)-Template!$F152</f>
        <v>0</v>
      </c>
      <c r="AC152" s="17">
        <f>IF(Template!$AB152&lt;=1, 0.8,IF(Template!$AB152=2,0.4,IF(Template!$AB152=3,0.2,IF(Template!$AB152=4,0.1,IF(Template!$AB152&gt;=5,0.05,"erro")))))</f>
        <v>0.8</v>
      </c>
      <c r="AD152" s="17" t="b">
        <f>Template!$D152=Template!$M152</f>
        <v>0</v>
      </c>
      <c r="AE152" s="12" t="s">
        <v>58</v>
      </c>
    </row>
    <row r="153" ht="15.75" customHeight="1">
      <c r="A153" s="7" t="s">
        <v>190</v>
      </c>
      <c r="B153" s="7" t="s">
        <v>191</v>
      </c>
      <c r="C153" s="7" t="s">
        <v>205</v>
      </c>
      <c r="D153" s="13">
        <v>17795.0</v>
      </c>
      <c r="E153" s="7" t="s">
        <v>203</v>
      </c>
      <c r="F153" s="13"/>
      <c r="G153" s="14" t="s">
        <v>63</v>
      </c>
      <c r="H153" s="7" t="s">
        <v>194</v>
      </c>
      <c r="I153" s="7" t="s">
        <v>195</v>
      </c>
      <c r="J153" s="7" t="s">
        <v>70</v>
      </c>
      <c r="K153" s="15">
        <v>43678.0</v>
      </c>
      <c r="L153" s="15">
        <v>32281.0</v>
      </c>
      <c r="M153" s="13">
        <v>25270.0</v>
      </c>
      <c r="N153" s="7"/>
      <c r="O153" s="7"/>
      <c r="P153" s="7">
        <v>13.33</v>
      </c>
      <c r="Q153" s="7"/>
      <c r="R153" s="20"/>
      <c r="S153" s="7"/>
      <c r="T153" s="20"/>
      <c r="U153" s="16">
        <f>SUM(Template!$N153:$O153)*Template!$P153+Template!$Q153</f>
        <v>0</v>
      </c>
      <c r="V153" s="17" t="str">
        <f>IF(Template!$M153="CONSELHO","N",IF(Template!$AA153="N","N1",IF(Template!$AA153="N1","N2",IF(Template!$AA153="N2","N3",IF(Template!$AA153="N3","N4",IF(Template!$AA153="N4","N5",IF(Template!$AA153="N5","N6",IF(Template!$AA153="N6","N7",IF(Template!$AA153="N7","N8",IF(Template!$AA153="N8","N9",IF(Template!$AA153="N9","N10","NA")))))))))))</f>
        <v>N4</v>
      </c>
      <c r="W153" s="17">
        <f>COUNTIF(Template!$M$3:$M$619,Template!$D153)</f>
        <v>0</v>
      </c>
      <c r="X153" s="17" t="str">
        <f>IF(Template!$F153="","",SUMIF(Template!$M$3:$M$619,Template!$D153,Template!$AC$3:$AC$619))</f>
        <v/>
      </c>
      <c r="Y153" s="17" t="str">
        <f>IFERROR(VLOOKUP(Template!$M153,Template!$D$3:$G$619,MATCH("EmployeeJobTitle",Template!$D$2:$G$2,0),FALSE),"NA")</f>
        <v>GERENTE DE LOJA SR</v>
      </c>
      <c r="Z153" s="17" t="str">
        <f>IFERROR(VLOOKUP(Template!$M153,Template!$D$3:$G$619,MATCH("EmployeeGroup",Template!$D$2:$G$2,0),FALSE),"NA")</f>
        <v>GERENTE</v>
      </c>
      <c r="AA153" s="17" t="str">
        <f>IFERROR(VLOOKUP(Template!$M153,Template!$D$3:$V$619,MATCH("Layer",Template!$D$2:$V$2,0),FALSE),"NA")</f>
        <v>N3</v>
      </c>
      <c r="AB153" s="21">
        <f>VLOOKUP(Template!$M153,Template!$D$3:$F$619,MATCH("InternalGrade",Template!$D$2:$F$2,0),FALSE)-Template!$F153</f>
        <v>0</v>
      </c>
      <c r="AC153" s="17">
        <f>IF(Template!$AB153&lt;=1, 0.8,IF(Template!$AB153=2,0.4,IF(Template!$AB153=3,0.2,IF(Template!$AB153=4,0.1,IF(Template!$AB153&gt;=5,0.05,"erro")))))</f>
        <v>0.8</v>
      </c>
      <c r="AD153" s="17" t="b">
        <f>Template!$D153=Template!$M153</f>
        <v>0</v>
      </c>
      <c r="AE153" s="12" t="s">
        <v>58</v>
      </c>
    </row>
    <row r="154" ht="15.75" customHeight="1">
      <c r="A154" s="7" t="s">
        <v>190</v>
      </c>
      <c r="B154" s="7" t="s">
        <v>191</v>
      </c>
      <c r="C154" s="7" t="s">
        <v>205</v>
      </c>
      <c r="D154" s="13">
        <v>13367.0</v>
      </c>
      <c r="E154" s="7" t="s">
        <v>207</v>
      </c>
      <c r="F154" s="13"/>
      <c r="G154" s="14" t="s">
        <v>63</v>
      </c>
      <c r="H154" s="7" t="s">
        <v>194</v>
      </c>
      <c r="I154" s="7" t="s">
        <v>195</v>
      </c>
      <c r="J154" s="7" t="s">
        <v>70</v>
      </c>
      <c r="K154" s="15">
        <v>41736.0</v>
      </c>
      <c r="L154" s="15">
        <v>30862.0</v>
      </c>
      <c r="M154" s="13">
        <v>25270.0</v>
      </c>
      <c r="N154" s="7">
        <v>1703.0</v>
      </c>
      <c r="O154" s="7"/>
      <c r="P154" s="7">
        <v>13.33</v>
      </c>
      <c r="Q154" s="7"/>
      <c r="R154" s="20"/>
      <c r="S154" s="7"/>
      <c r="T154" s="20"/>
      <c r="U154" s="16">
        <f>SUM(Template!$N154:$O154)*Template!$P154+Template!$Q154</f>
        <v>22700.99</v>
      </c>
      <c r="V154" s="17" t="str">
        <f>IF(Template!$M154="CONSELHO","N",IF(Template!$AA154="N","N1",IF(Template!$AA154="N1","N2",IF(Template!$AA154="N2","N3",IF(Template!$AA154="N3","N4",IF(Template!$AA154="N4","N5",IF(Template!$AA154="N5","N6",IF(Template!$AA154="N6","N7",IF(Template!$AA154="N7","N8",IF(Template!$AA154="N8","N9",IF(Template!$AA154="N9","N10","NA")))))))))))</f>
        <v>N4</v>
      </c>
      <c r="W154" s="17">
        <f>COUNTIF(Template!$M$3:$M$619,Template!$D154)</f>
        <v>0</v>
      </c>
      <c r="X154" s="17" t="str">
        <f>IF(Template!$F154="","",SUMIF(Template!$M$3:$M$619,Template!$D154,Template!$AC$3:$AC$619))</f>
        <v/>
      </c>
      <c r="Y154" s="17" t="str">
        <f>IFERROR(VLOOKUP(Template!$M154,Template!$D$3:$G$619,MATCH("EmployeeJobTitle",Template!$D$2:$G$2,0),FALSE),"NA")</f>
        <v>GERENTE DE LOJA SR</v>
      </c>
      <c r="Z154" s="17" t="str">
        <f>IFERROR(VLOOKUP(Template!$M154,Template!$D$3:$G$619,MATCH("EmployeeGroup",Template!$D$2:$G$2,0),FALSE),"NA")</f>
        <v>GERENTE</v>
      </c>
      <c r="AA154" s="17" t="str">
        <f>IFERROR(VLOOKUP(Template!$M154,Template!$D$3:$V$619,MATCH("Layer",Template!$D$2:$V$2,0),FALSE),"NA")</f>
        <v>N3</v>
      </c>
      <c r="AB154" s="21">
        <f>VLOOKUP(Template!$M154,Template!$D$3:$F$619,MATCH("InternalGrade",Template!$D$2:$F$2,0),FALSE)-Template!$F154</f>
        <v>0</v>
      </c>
      <c r="AC154" s="17">
        <f>IF(Template!$AB154&lt;=1, 0.8,IF(Template!$AB154=2,0.4,IF(Template!$AB154=3,0.2,IF(Template!$AB154=4,0.1,IF(Template!$AB154&gt;=5,0.05,"erro")))))</f>
        <v>0.8</v>
      </c>
      <c r="AD154" s="17" t="b">
        <f>Template!$D154=Template!$M154</f>
        <v>0</v>
      </c>
      <c r="AE154" s="12" t="s">
        <v>58</v>
      </c>
    </row>
    <row r="155" ht="15.75" customHeight="1">
      <c r="A155" s="7" t="s">
        <v>190</v>
      </c>
      <c r="B155" s="7" t="s">
        <v>191</v>
      </c>
      <c r="C155" s="7" t="s">
        <v>205</v>
      </c>
      <c r="D155" s="13">
        <v>19368.0</v>
      </c>
      <c r="E155" s="7" t="s">
        <v>196</v>
      </c>
      <c r="F155" s="13"/>
      <c r="G155" s="14" t="s">
        <v>63</v>
      </c>
      <c r="H155" s="7" t="s">
        <v>194</v>
      </c>
      <c r="I155" s="7" t="s">
        <v>195</v>
      </c>
      <c r="J155" s="7" t="s">
        <v>70</v>
      </c>
      <c r="K155" s="15">
        <v>44235.0</v>
      </c>
      <c r="L155" s="15">
        <v>34508.0</v>
      </c>
      <c r="M155" s="13">
        <v>25270.0</v>
      </c>
      <c r="N155" s="7">
        <v>2129.0</v>
      </c>
      <c r="O155" s="7"/>
      <c r="P155" s="7">
        <v>13.33</v>
      </c>
      <c r="Q155" s="7"/>
      <c r="R155" s="20"/>
      <c r="S155" s="7"/>
      <c r="T155" s="20"/>
      <c r="U155" s="16">
        <f>SUM(Template!$N155:$O155)*Template!$P155+Template!$Q155</f>
        <v>28379.57</v>
      </c>
      <c r="V155" s="17" t="str">
        <f>IF(Template!$M155="CONSELHO","N",IF(Template!$AA155="N","N1",IF(Template!$AA155="N1","N2",IF(Template!$AA155="N2","N3",IF(Template!$AA155="N3","N4",IF(Template!$AA155="N4","N5",IF(Template!$AA155="N5","N6",IF(Template!$AA155="N6","N7",IF(Template!$AA155="N7","N8",IF(Template!$AA155="N8","N9",IF(Template!$AA155="N9","N10","NA")))))))))))</f>
        <v>N4</v>
      </c>
      <c r="W155" s="17">
        <f>COUNTIF(Template!$M$3:$M$619,Template!$D155)</f>
        <v>0</v>
      </c>
      <c r="X155" s="17" t="str">
        <f>IF(Template!$F155="","",SUMIF(Template!$M$3:$M$619,Template!$D155,Template!$AC$3:$AC$619))</f>
        <v/>
      </c>
      <c r="Y155" s="17" t="str">
        <f>IFERROR(VLOOKUP(Template!$M155,Template!$D$3:$G$619,MATCH("EmployeeJobTitle",Template!$D$2:$G$2,0),FALSE),"NA")</f>
        <v>GERENTE DE LOJA SR</v>
      </c>
      <c r="Z155" s="17" t="str">
        <f>IFERROR(VLOOKUP(Template!$M155,Template!$D$3:$G$619,MATCH("EmployeeGroup",Template!$D$2:$G$2,0),FALSE),"NA")</f>
        <v>GERENTE</v>
      </c>
      <c r="AA155" s="17" t="str">
        <f>IFERROR(VLOOKUP(Template!$M155,Template!$D$3:$V$619,MATCH("Layer",Template!$D$2:$V$2,0),FALSE),"NA")</f>
        <v>N3</v>
      </c>
      <c r="AB155" s="21">
        <f>VLOOKUP(Template!$M155,Template!$D$3:$F$619,MATCH("InternalGrade",Template!$D$2:$F$2,0),FALSE)-Template!$F155</f>
        <v>0</v>
      </c>
      <c r="AC155" s="17">
        <f>IF(Template!$AB155&lt;=1, 0.8,IF(Template!$AB155=2,0.4,IF(Template!$AB155=3,0.2,IF(Template!$AB155=4,0.1,IF(Template!$AB155&gt;=5,0.05,"erro")))))</f>
        <v>0.8</v>
      </c>
      <c r="AD155" s="17" t="b">
        <f>Template!$D155=Template!$M155</f>
        <v>0</v>
      </c>
      <c r="AE155" s="12" t="s">
        <v>58</v>
      </c>
    </row>
    <row r="156" ht="15.75" customHeight="1">
      <c r="A156" s="7" t="s">
        <v>190</v>
      </c>
      <c r="B156" s="7" t="s">
        <v>191</v>
      </c>
      <c r="C156" s="7" t="s">
        <v>205</v>
      </c>
      <c r="D156" s="13">
        <v>13349.0</v>
      </c>
      <c r="E156" s="7" t="s">
        <v>207</v>
      </c>
      <c r="F156" s="13"/>
      <c r="G156" s="14" t="s">
        <v>63</v>
      </c>
      <c r="H156" s="7" t="s">
        <v>194</v>
      </c>
      <c r="I156" s="7" t="s">
        <v>195</v>
      </c>
      <c r="J156" s="7" t="s">
        <v>70</v>
      </c>
      <c r="K156" s="15">
        <v>41731.0</v>
      </c>
      <c r="L156" s="15">
        <v>29346.0</v>
      </c>
      <c r="M156" s="13">
        <v>25270.0</v>
      </c>
      <c r="N156" s="7">
        <v>1703.0</v>
      </c>
      <c r="O156" s="7"/>
      <c r="P156" s="7">
        <v>13.33</v>
      </c>
      <c r="Q156" s="7"/>
      <c r="R156" s="20"/>
      <c r="S156" s="7"/>
      <c r="T156" s="20"/>
      <c r="U156" s="16">
        <f>SUM(Template!$N156:$O156)*Template!$P156+Template!$Q156</f>
        <v>22700.99</v>
      </c>
      <c r="V156" s="17" t="str">
        <f>IF(Template!$M156="CONSELHO","N",IF(Template!$AA156="N","N1",IF(Template!$AA156="N1","N2",IF(Template!$AA156="N2","N3",IF(Template!$AA156="N3","N4",IF(Template!$AA156="N4","N5",IF(Template!$AA156="N5","N6",IF(Template!$AA156="N6","N7",IF(Template!$AA156="N7","N8",IF(Template!$AA156="N8","N9",IF(Template!$AA156="N9","N10","NA")))))))))))</f>
        <v>N4</v>
      </c>
      <c r="W156" s="17">
        <f>COUNTIF(Template!$M$3:$M$619,Template!$D156)</f>
        <v>0</v>
      </c>
      <c r="X156" s="17" t="str">
        <f>IF(Template!$F156="","",SUMIF(Template!$M$3:$M$619,Template!$D156,Template!$AC$3:$AC$619))</f>
        <v/>
      </c>
      <c r="Y156" s="17" t="str">
        <f>IFERROR(VLOOKUP(Template!$M156,Template!$D$3:$G$619,MATCH("EmployeeJobTitle",Template!$D$2:$G$2,0),FALSE),"NA")</f>
        <v>GERENTE DE LOJA SR</v>
      </c>
      <c r="Z156" s="17" t="str">
        <f>IFERROR(VLOOKUP(Template!$M156,Template!$D$3:$G$619,MATCH("EmployeeGroup",Template!$D$2:$G$2,0),FALSE),"NA")</f>
        <v>GERENTE</v>
      </c>
      <c r="AA156" s="17" t="str">
        <f>IFERROR(VLOOKUP(Template!$M156,Template!$D$3:$V$619,MATCH("Layer",Template!$D$2:$V$2,0),FALSE),"NA")</f>
        <v>N3</v>
      </c>
      <c r="AB156" s="21">
        <f>VLOOKUP(Template!$M156,Template!$D$3:$F$619,MATCH("InternalGrade",Template!$D$2:$F$2,0),FALSE)-Template!$F156</f>
        <v>0</v>
      </c>
      <c r="AC156" s="17">
        <f>IF(Template!$AB156&lt;=1, 0.8,IF(Template!$AB156=2,0.4,IF(Template!$AB156=3,0.2,IF(Template!$AB156=4,0.1,IF(Template!$AB156&gt;=5,0.05,"erro")))))</f>
        <v>0.8</v>
      </c>
      <c r="AD156" s="17" t="b">
        <f>Template!$D156=Template!$M156</f>
        <v>0</v>
      </c>
      <c r="AE156" s="12" t="s">
        <v>58</v>
      </c>
    </row>
    <row r="157" ht="15.75" customHeight="1">
      <c r="A157" s="7" t="s">
        <v>190</v>
      </c>
      <c r="B157" s="7" t="s">
        <v>191</v>
      </c>
      <c r="C157" s="7" t="s">
        <v>205</v>
      </c>
      <c r="D157" s="13">
        <v>24380.0</v>
      </c>
      <c r="E157" s="7" t="s">
        <v>193</v>
      </c>
      <c r="F157" s="13"/>
      <c r="G157" s="14" t="s">
        <v>63</v>
      </c>
      <c r="H157" s="7" t="s">
        <v>194</v>
      </c>
      <c r="I157" s="7" t="s">
        <v>195</v>
      </c>
      <c r="J157" s="7" t="s">
        <v>70</v>
      </c>
      <c r="K157" s="15">
        <v>45215.0</v>
      </c>
      <c r="L157" s="15">
        <v>30687.0</v>
      </c>
      <c r="M157" s="13">
        <v>25270.0</v>
      </c>
      <c r="N157" s="7"/>
      <c r="O157" s="7"/>
      <c r="P157" s="7">
        <v>13.33</v>
      </c>
      <c r="Q157" s="7"/>
      <c r="R157" s="20"/>
      <c r="S157" s="7"/>
      <c r="T157" s="20"/>
      <c r="U157" s="16">
        <f>SUM(Template!$N157:$O157)*Template!$P157+Template!$Q157</f>
        <v>0</v>
      </c>
      <c r="V157" s="17" t="str">
        <f>IF(Template!$M157="CONSELHO","N",IF(Template!$AA157="N","N1",IF(Template!$AA157="N1","N2",IF(Template!$AA157="N2","N3",IF(Template!$AA157="N3","N4",IF(Template!$AA157="N4","N5",IF(Template!$AA157="N5","N6",IF(Template!$AA157="N6","N7",IF(Template!$AA157="N7","N8",IF(Template!$AA157="N8","N9",IF(Template!$AA157="N9","N10","NA")))))))))))</f>
        <v>N4</v>
      </c>
      <c r="W157" s="17">
        <f>COUNTIF(Template!$M$3:$M$619,Template!$D157)</f>
        <v>0</v>
      </c>
      <c r="X157" s="17" t="str">
        <f>IF(Template!$F157="","",SUMIF(Template!$M$3:$M$619,Template!$D157,Template!$AC$3:$AC$619))</f>
        <v/>
      </c>
      <c r="Y157" s="17" t="str">
        <f>IFERROR(VLOOKUP(Template!$M157,Template!$D$3:$G$619,MATCH("EmployeeJobTitle",Template!$D$2:$G$2,0),FALSE),"NA")</f>
        <v>GERENTE DE LOJA SR</v>
      </c>
      <c r="Z157" s="17" t="str">
        <f>IFERROR(VLOOKUP(Template!$M157,Template!$D$3:$G$619,MATCH("EmployeeGroup",Template!$D$2:$G$2,0),FALSE),"NA")</f>
        <v>GERENTE</v>
      </c>
      <c r="AA157" s="17" t="str">
        <f>IFERROR(VLOOKUP(Template!$M157,Template!$D$3:$V$619,MATCH("Layer",Template!$D$2:$V$2,0),FALSE),"NA")</f>
        <v>N3</v>
      </c>
      <c r="AB157" s="21">
        <f>VLOOKUP(Template!$M157,Template!$D$3:$F$619,MATCH("InternalGrade",Template!$D$2:$F$2,0),FALSE)-Template!$F157</f>
        <v>0</v>
      </c>
      <c r="AC157" s="17">
        <f>IF(Template!$AB157&lt;=1, 0.8,IF(Template!$AB157=2,0.4,IF(Template!$AB157=3,0.2,IF(Template!$AB157=4,0.1,IF(Template!$AB157&gt;=5,0.05,"erro")))))</f>
        <v>0.8</v>
      </c>
      <c r="AD157" s="17" t="b">
        <f>Template!$D157=Template!$M157</f>
        <v>0</v>
      </c>
      <c r="AE157" s="12" t="s">
        <v>58</v>
      </c>
    </row>
    <row r="158" ht="15.75" customHeight="1">
      <c r="A158" s="7" t="s">
        <v>190</v>
      </c>
      <c r="B158" s="7" t="s">
        <v>191</v>
      </c>
      <c r="C158" s="7" t="s">
        <v>205</v>
      </c>
      <c r="D158" s="13">
        <v>25148.0</v>
      </c>
      <c r="E158" s="7" t="s">
        <v>196</v>
      </c>
      <c r="F158" s="13"/>
      <c r="G158" s="14" t="s">
        <v>63</v>
      </c>
      <c r="H158" s="7" t="s">
        <v>194</v>
      </c>
      <c r="I158" s="7" t="s">
        <v>195</v>
      </c>
      <c r="J158" s="7" t="s">
        <v>70</v>
      </c>
      <c r="K158" s="15">
        <v>45464.0</v>
      </c>
      <c r="L158" s="15">
        <v>30838.0</v>
      </c>
      <c r="M158" s="13">
        <v>25270.0</v>
      </c>
      <c r="N158" s="7">
        <v>1780.0</v>
      </c>
      <c r="O158" s="7"/>
      <c r="P158" s="7">
        <v>13.33</v>
      </c>
      <c r="Q158" s="7"/>
      <c r="R158" s="20"/>
      <c r="S158" s="7"/>
      <c r="T158" s="20"/>
      <c r="U158" s="16">
        <f>SUM(Template!$N158:$O158)*Template!$P158+Template!$Q158</f>
        <v>23727.4</v>
      </c>
      <c r="V158" s="17" t="str">
        <f>IF(Template!$M158="CONSELHO","N",IF(Template!$AA158="N","N1",IF(Template!$AA158="N1","N2",IF(Template!$AA158="N2","N3",IF(Template!$AA158="N3","N4",IF(Template!$AA158="N4","N5",IF(Template!$AA158="N5","N6",IF(Template!$AA158="N6","N7",IF(Template!$AA158="N7","N8",IF(Template!$AA158="N8","N9",IF(Template!$AA158="N9","N10","NA")))))))))))</f>
        <v>N4</v>
      </c>
      <c r="W158" s="17">
        <f>COUNTIF(Template!$M$3:$M$619,Template!$D158)</f>
        <v>0</v>
      </c>
      <c r="X158" s="17" t="str">
        <f>IF(Template!$F158="","",SUMIF(Template!$M$3:$M$619,Template!$D158,Template!$AC$3:$AC$619))</f>
        <v/>
      </c>
      <c r="Y158" s="17" t="str">
        <f>IFERROR(VLOOKUP(Template!$M158,Template!$D$3:$G$619,MATCH("EmployeeJobTitle",Template!$D$2:$G$2,0),FALSE),"NA")</f>
        <v>GERENTE DE LOJA SR</v>
      </c>
      <c r="Z158" s="17" t="str">
        <f>IFERROR(VLOOKUP(Template!$M158,Template!$D$3:$G$619,MATCH("EmployeeGroup",Template!$D$2:$G$2,0),FALSE),"NA")</f>
        <v>GERENTE</v>
      </c>
      <c r="AA158" s="17" t="str">
        <f>IFERROR(VLOOKUP(Template!$M158,Template!$D$3:$V$619,MATCH("Layer",Template!$D$2:$V$2,0),FALSE),"NA")</f>
        <v>N3</v>
      </c>
      <c r="AB158" s="21">
        <f>VLOOKUP(Template!$M158,Template!$D$3:$F$619,MATCH("InternalGrade",Template!$D$2:$F$2,0),FALSE)-Template!$F158</f>
        <v>0</v>
      </c>
      <c r="AC158" s="17">
        <f>IF(Template!$AB158&lt;=1, 0.8,IF(Template!$AB158=2,0.4,IF(Template!$AB158=3,0.2,IF(Template!$AB158=4,0.1,IF(Template!$AB158&gt;=5,0.05,"erro")))))</f>
        <v>0.8</v>
      </c>
      <c r="AD158" s="17" t="b">
        <f>Template!$D158=Template!$M158</f>
        <v>0</v>
      </c>
      <c r="AE158" s="12" t="s">
        <v>58</v>
      </c>
    </row>
    <row r="159" ht="15.75" customHeight="1">
      <c r="A159" s="7" t="s">
        <v>190</v>
      </c>
      <c r="B159" s="7" t="s">
        <v>191</v>
      </c>
      <c r="C159" s="7" t="s">
        <v>205</v>
      </c>
      <c r="D159" s="13">
        <v>25419.0</v>
      </c>
      <c r="E159" s="7" t="s">
        <v>193</v>
      </c>
      <c r="F159" s="13"/>
      <c r="G159" s="14" t="s">
        <v>63</v>
      </c>
      <c r="H159" s="7" t="s">
        <v>194</v>
      </c>
      <c r="I159" s="7" t="s">
        <v>195</v>
      </c>
      <c r="J159" s="7" t="s">
        <v>70</v>
      </c>
      <c r="K159" s="15">
        <v>45566.0</v>
      </c>
      <c r="L159" s="15">
        <v>37252.0</v>
      </c>
      <c r="M159" s="13">
        <v>25270.0</v>
      </c>
      <c r="N159" s="7"/>
      <c r="O159" s="7"/>
      <c r="P159" s="7">
        <v>13.33</v>
      </c>
      <c r="Q159" s="7"/>
      <c r="R159" s="20"/>
      <c r="S159" s="7"/>
      <c r="T159" s="20"/>
      <c r="U159" s="16">
        <f>SUM(Template!$N159:$O159)*Template!$P159+Template!$Q159</f>
        <v>0</v>
      </c>
      <c r="V159" s="17" t="str">
        <f>IF(Template!$M159="CONSELHO","N",IF(Template!$AA159="N","N1",IF(Template!$AA159="N1","N2",IF(Template!$AA159="N2","N3",IF(Template!$AA159="N3","N4",IF(Template!$AA159="N4","N5",IF(Template!$AA159="N5","N6",IF(Template!$AA159="N6","N7",IF(Template!$AA159="N7","N8",IF(Template!$AA159="N8","N9",IF(Template!$AA159="N9","N10","NA")))))))))))</f>
        <v>N4</v>
      </c>
      <c r="W159" s="17">
        <f>COUNTIF(Template!$M$3:$M$619,Template!$D159)</f>
        <v>0</v>
      </c>
      <c r="X159" s="17" t="str">
        <f>IF(Template!$F159="","",SUMIF(Template!$M$3:$M$619,Template!$D159,Template!$AC$3:$AC$619))</f>
        <v/>
      </c>
      <c r="Y159" s="17" t="str">
        <f>IFERROR(VLOOKUP(Template!$M159,Template!$D$3:$G$619,MATCH("EmployeeJobTitle",Template!$D$2:$G$2,0),FALSE),"NA")</f>
        <v>GERENTE DE LOJA SR</v>
      </c>
      <c r="Z159" s="17" t="str">
        <f>IFERROR(VLOOKUP(Template!$M159,Template!$D$3:$G$619,MATCH("EmployeeGroup",Template!$D$2:$G$2,0),FALSE),"NA")</f>
        <v>GERENTE</v>
      </c>
      <c r="AA159" s="17" t="str">
        <f>IFERROR(VLOOKUP(Template!$M159,Template!$D$3:$V$619,MATCH("Layer",Template!$D$2:$V$2,0),FALSE),"NA")</f>
        <v>N3</v>
      </c>
      <c r="AB159" s="21">
        <f>VLOOKUP(Template!$M159,Template!$D$3:$F$619,MATCH("InternalGrade",Template!$D$2:$F$2,0),FALSE)-Template!$F159</f>
        <v>0</v>
      </c>
      <c r="AC159" s="17">
        <f>IF(Template!$AB159&lt;=1, 0.8,IF(Template!$AB159=2,0.4,IF(Template!$AB159=3,0.2,IF(Template!$AB159=4,0.1,IF(Template!$AB159&gt;=5,0.05,"erro")))))</f>
        <v>0.8</v>
      </c>
      <c r="AD159" s="17" t="b">
        <f>Template!$D159=Template!$M159</f>
        <v>0</v>
      </c>
      <c r="AE159" s="12" t="s">
        <v>58</v>
      </c>
    </row>
    <row r="160" ht="15.75" customHeight="1">
      <c r="A160" s="7" t="s">
        <v>190</v>
      </c>
      <c r="B160" s="7" t="s">
        <v>191</v>
      </c>
      <c r="C160" s="7" t="s">
        <v>205</v>
      </c>
      <c r="D160" s="13">
        <v>25420.0</v>
      </c>
      <c r="E160" s="7" t="s">
        <v>198</v>
      </c>
      <c r="F160" s="13"/>
      <c r="G160" s="14" t="s">
        <v>63</v>
      </c>
      <c r="H160" s="7" t="s">
        <v>194</v>
      </c>
      <c r="I160" s="7" t="s">
        <v>195</v>
      </c>
      <c r="J160" s="7" t="s">
        <v>70</v>
      </c>
      <c r="K160" s="15">
        <v>45566.0</v>
      </c>
      <c r="L160" s="15">
        <v>36416.0</v>
      </c>
      <c r="M160" s="13">
        <v>25270.0</v>
      </c>
      <c r="N160" s="7">
        <v>1504.0</v>
      </c>
      <c r="O160" s="7"/>
      <c r="P160" s="7">
        <v>13.33</v>
      </c>
      <c r="Q160" s="7"/>
      <c r="R160" s="20"/>
      <c r="S160" s="7"/>
      <c r="T160" s="20"/>
      <c r="U160" s="16">
        <f>SUM(Template!$N160:$O160)*Template!$P160+Template!$Q160</f>
        <v>20048.32</v>
      </c>
      <c r="V160" s="17" t="str">
        <f>IF(Template!$M160="CONSELHO","N",IF(Template!$AA160="N","N1",IF(Template!$AA160="N1","N2",IF(Template!$AA160="N2","N3",IF(Template!$AA160="N3","N4",IF(Template!$AA160="N4","N5",IF(Template!$AA160="N5","N6",IF(Template!$AA160="N6","N7",IF(Template!$AA160="N7","N8",IF(Template!$AA160="N8","N9",IF(Template!$AA160="N9","N10","NA")))))))))))</f>
        <v>N4</v>
      </c>
      <c r="W160" s="17">
        <f>COUNTIF(Template!$M$3:$M$619,Template!$D160)</f>
        <v>0</v>
      </c>
      <c r="X160" s="17" t="str">
        <f>IF(Template!$F160="","",SUMIF(Template!$M$3:$M$619,Template!$D160,Template!$AC$3:$AC$619))</f>
        <v/>
      </c>
      <c r="Y160" s="17" t="str">
        <f>IFERROR(VLOOKUP(Template!$M160,Template!$D$3:$G$619,MATCH("EmployeeJobTitle",Template!$D$2:$G$2,0),FALSE),"NA")</f>
        <v>GERENTE DE LOJA SR</v>
      </c>
      <c r="Z160" s="17" t="str">
        <f>IFERROR(VLOOKUP(Template!$M160,Template!$D$3:$G$619,MATCH("EmployeeGroup",Template!$D$2:$G$2,0),FALSE),"NA")</f>
        <v>GERENTE</v>
      </c>
      <c r="AA160" s="17" t="str">
        <f>IFERROR(VLOOKUP(Template!$M160,Template!$D$3:$V$619,MATCH("Layer",Template!$D$2:$V$2,0),FALSE),"NA")</f>
        <v>N3</v>
      </c>
      <c r="AB160" s="21">
        <f>VLOOKUP(Template!$M160,Template!$D$3:$F$619,MATCH("InternalGrade",Template!$D$2:$F$2,0),FALSE)-Template!$F160</f>
        <v>0</v>
      </c>
      <c r="AC160" s="17">
        <f>IF(Template!$AB160&lt;=1, 0.8,IF(Template!$AB160=2,0.4,IF(Template!$AB160=3,0.2,IF(Template!$AB160=4,0.1,IF(Template!$AB160&gt;=5,0.05,"erro")))))</f>
        <v>0.8</v>
      </c>
      <c r="AD160" s="17" t="b">
        <f>Template!$D160=Template!$M160</f>
        <v>0</v>
      </c>
      <c r="AE160" s="12" t="s">
        <v>58</v>
      </c>
    </row>
    <row r="161" ht="15.75" customHeight="1">
      <c r="A161" s="7" t="s">
        <v>190</v>
      </c>
      <c r="B161" s="7" t="s">
        <v>191</v>
      </c>
      <c r="C161" s="7" t="s">
        <v>205</v>
      </c>
      <c r="D161" s="13">
        <v>25152.0</v>
      </c>
      <c r="E161" s="7" t="s">
        <v>193</v>
      </c>
      <c r="F161" s="13"/>
      <c r="G161" s="14" t="s">
        <v>63</v>
      </c>
      <c r="H161" s="7" t="s">
        <v>194</v>
      </c>
      <c r="I161" s="7" t="s">
        <v>195</v>
      </c>
      <c r="J161" s="7" t="s">
        <v>70</v>
      </c>
      <c r="K161" s="15">
        <v>45474.0</v>
      </c>
      <c r="L161" s="15">
        <v>34756.0</v>
      </c>
      <c r="M161" s="13">
        <v>25270.0</v>
      </c>
      <c r="N161" s="7"/>
      <c r="O161" s="7"/>
      <c r="P161" s="7">
        <v>13.33</v>
      </c>
      <c r="Q161" s="7"/>
      <c r="R161" s="20"/>
      <c r="S161" s="7"/>
      <c r="T161" s="20"/>
      <c r="U161" s="16">
        <f>SUM(Template!$N161:$O161)*Template!$P161+Template!$Q161</f>
        <v>0</v>
      </c>
      <c r="V161" s="17" t="str">
        <f>IF(Template!$M161="CONSELHO","N",IF(Template!$AA161="N","N1",IF(Template!$AA161="N1","N2",IF(Template!$AA161="N2","N3",IF(Template!$AA161="N3","N4",IF(Template!$AA161="N4","N5",IF(Template!$AA161="N5","N6",IF(Template!$AA161="N6","N7",IF(Template!$AA161="N7","N8",IF(Template!$AA161="N8","N9",IF(Template!$AA161="N9","N10","NA")))))))))))</f>
        <v>N4</v>
      </c>
      <c r="W161" s="17">
        <f>COUNTIF(Template!$M$3:$M$619,Template!$D161)</f>
        <v>0</v>
      </c>
      <c r="X161" s="17" t="str">
        <f>IF(Template!$F161="","",SUMIF(Template!$M$3:$M$619,Template!$D161,Template!$AC$3:$AC$619))</f>
        <v/>
      </c>
      <c r="Y161" s="17" t="str">
        <f>IFERROR(VLOOKUP(Template!$M161,Template!$D$3:$G$619,MATCH("EmployeeJobTitle",Template!$D$2:$G$2,0),FALSE),"NA")</f>
        <v>GERENTE DE LOJA SR</v>
      </c>
      <c r="Z161" s="17" t="str">
        <f>IFERROR(VLOOKUP(Template!$M161,Template!$D$3:$G$619,MATCH("EmployeeGroup",Template!$D$2:$G$2,0),FALSE),"NA")</f>
        <v>GERENTE</v>
      </c>
      <c r="AA161" s="17" t="str">
        <f>IFERROR(VLOOKUP(Template!$M161,Template!$D$3:$V$619,MATCH("Layer",Template!$D$2:$V$2,0),FALSE),"NA")</f>
        <v>N3</v>
      </c>
      <c r="AB161" s="21">
        <f>VLOOKUP(Template!$M161,Template!$D$3:$F$619,MATCH("InternalGrade",Template!$D$2:$F$2,0),FALSE)-Template!$F161</f>
        <v>0</v>
      </c>
      <c r="AC161" s="17">
        <f>IF(Template!$AB161&lt;=1, 0.8,IF(Template!$AB161=2,0.4,IF(Template!$AB161=3,0.2,IF(Template!$AB161=4,0.1,IF(Template!$AB161&gt;=5,0.05,"erro")))))</f>
        <v>0.8</v>
      </c>
      <c r="AD161" s="17" t="b">
        <f>Template!$D161=Template!$M161</f>
        <v>0</v>
      </c>
      <c r="AE161" s="12" t="s">
        <v>58</v>
      </c>
    </row>
    <row r="162" ht="15.75" customHeight="1">
      <c r="A162" s="7" t="s">
        <v>190</v>
      </c>
      <c r="B162" s="7" t="s">
        <v>191</v>
      </c>
      <c r="C162" s="7" t="s">
        <v>205</v>
      </c>
      <c r="D162" s="13">
        <v>22925.0</v>
      </c>
      <c r="E162" s="7" t="s">
        <v>203</v>
      </c>
      <c r="F162" s="13"/>
      <c r="G162" s="14" t="s">
        <v>63</v>
      </c>
      <c r="H162" s="7" t="s">
        <v>194</v>
      </c>
      <c r="I162" s="7" t="s">
        <v>195</v>
      </c>
      <c r="J162" s="7" t="s">
        <v>70</v>
      </c>
      <c r="K162" s="15">
        <v>44896.0</v>
      </c>
      <c r="L162" s="15">
        <v>26276.0</v>
      </c>
      <c r="M162" s="13">
        <v>25270.0</v>
      </c>
      <c r="N162" s="7"/>
      <c r="O162" s="7"/>
      <c r="P162" s="7">
        <v>13.33</v>
      </c>
      <c r="Q162" s="7"/>
      <c r="R162" s="20"/>
      <c r="S162" s="7"/>
      <c r="T162" s="20"/>
      <c r="U162" s="16">
        <f>SUM(Template!$N162:$O162)*Template!$P162+Template!$Q162</f>
        <v>0</v>
      </c>
      <c r="V162" s="17" t="str">
        <f>IF(Template!$M162="CONSELHO","N",IF(Template!$AA162="N","N1",IF(Template!$AA162="N1","N2",IF(Template!$AA162="N2","N3",IF(Template!$AA162="N3","N4",IF(Template!$AA162="N4","N5",IF(Template!$AA162="N5","N6",IF(Template!$AA162="N6","N7",IF(Template!$AA162="N7","N8",IF(Template!$AA162="N8","N9",IF(Template!$AA162="N9","N10","NA")))))))))))</f>
        <v>N4</v>
      </c>
      <c r="W162" s="17">
        <f>COUNTIF(Template!$M$3:$M$619,Template!$D162)</f>
        <v>0</v>
      </c>
      <c r="X162" s="17" t="str">
        <f>IF(Template!$F162="","",SUMIF(Template!$M$3:$M$619,Template!$D162,Template!$AC$3:$AC$619))</f>
        <v/>
      </c>
      <c r="Y162" s="17" t="str">
        <f>IFERROR(VLOOKUP(Template!$M162,Template!$D$3:$G$619,MATCH("EmployeeJobTitle",Template!$D$2:$G$2,0),FALSE),"NA")</f>
        <v>GERENTE DE LOJA SR</v>
      </c>
      <c r="Z162" s="17" t="str">
        <f>IFERROR(VLOOKUP(Template!$M162,Template!$D$3:$G$619,MATCH("EmployeeGroup",Template!$D$2:$G$2,0),FALSE),"NA")</f>
        <v>GERENTE</v>
      </c>
      <c r="AA162" s="17" t="str">
        <f>IFERROR(VLOOKUP(Template!$M162,Template!$D$3:$V$619,MATCH("Layer",Template!$D$2:$V$2,0),FALSE),"NA")</f>
        <v>N3</v>
      </c>
      <c r="AB162" s="21">
        <f>VLOOKUP(Template!$M162,Template!$D$3:$F$619,MATCH("InternalGrade",Template!$D$2:$F$2,0),FALSE)-Template!$F162</f>
        <v>0</v>
      </c>
      <c r="AC162" s="17">
        <f>IF(Template!$AB162&lt;=1, 0.8,IF(Template!$AB162=2,0.4,IF(Template!$AB162=3,0.2,IF(Template!$AB162=4,0.1,IF(Template!$AB162&gt;=5,0.05,"erro")))))</f>
        <v>0.8</v>
      </c>
      <c r="AD162" s="17" t="b">
        <f>Template!$D162=Template!$M162</f>
        <v>0</v>
      </c>
      <c r="AE162" s="12" t="s">
        <v>58</v>
      </c>
    </row>
    <row r="163" ht="15.75" customHeight="1">
      <c r="A163" s="7" t="s">
        <v>190</v>
      </c>
      <c r="B163" s="7" t="s">
        <v>191</v>
      </c>
      <c r="C163" s="7" t="s">
        <v>205</v>
      </c>
      <c r="D163" s="13">
        <v>24428.0</v>
      </c>
      <c r="E163" s="7" t="s">
        <v>198</v>
      </c>
      <c r="F163" s="13"/>
      <c r="G163" s="14" t="s">
        <v>63</v>
      </c>
      <c r="H163" s="7" t="s">
        <v>194</v>
      </c>
      <c r="I163" s="7" t="s">
        <v>195</v>
      </c>
      <c r="J163" s="7" t="s">
        <v>70</v>
      </c>
      <c r="K163" s="15">
        <v>45236.0</v>
      </c>
      <c r="L163" s="15">
        <v>38129.0</v>
      </c>
      <c r="M163" s="13">
        <v>25270.0</v>
      </c>
      <c r="N163" s="7">
        <v>1535.0</v>
      </c>
      <c r="O163" s="7"/>
      <c r="P163" s="7">
        <v>13.33</v>
      </c>
      <c r="Q163" s="7"/>
      <c r="R163" s="20"/>
      <c r="S163" s="7"/>
      <c r="T163" s="20"/>
      <c r="U163" s="16">
        <f>SUM(Template!$N163:$O163)*Template!$P163+Template!$Q163</f>
        <v>20461.55</v>
      </c>
      <c r="V163" s="17" t="str">
        <f>IF(Template!$M163="CONSELHO","N",IF(Template!$AA163="N","N1",IF(Template!$AA163="N1","N2",IF(Template!$AA163="N2","N3",IF(Template!$AA163="N3","N4",IF(Template!$AA163="N4","N5",IF(Template!$AA163="N5","N6",IF(Template!$AA163="N6","N7",IF(Template!$AA163="N7","N8",IF(Template!$AA163="N8","N9",IF(Template!$AA163="N9","N10","NA")))))))))))</f>
        <v>N4</v>
      </c>
      <c r="W163" s="17">
        <f>COUNTIF(Template!$M$3:$M$619,Template!$D163)</f>
        <v>0</v>
      </c>
      <c r="X163" s="17" t="str">
        <f>IF(Template!$F163="","",SUMIF(Template!$M$3:$M$619,Template!$D163,Template!$AC$3:$AC$619))</f>
        <v/>
      </c>
      <c r="Y163" s="17" t="str">
        <f>IFERROR(VLOOKUP(Template!$M163,Template!$D$3:$G$619,MATCH("EmployeeJobTitle",Template!$D$2:$G$2,0),FALSE),"NA")</f>
        <v>GERENTE DE LOJA SR</v>
      </c>
      <c r="Z163" s="17" t="str">
        <f>IFERROR(VLOOKUP(Template!$M163,Template!$D$3:$G$619,MATCH("EmployeeGroup",Template!$D$2:$G$2,0),FALSE),"NA")</f>
        <v>GERENTE</v>
      </c>
      <c r="AA163" s="17" t="str">
        <f>IFERROR(VLOOKUP(Template!$M163,Template!$D$3:$V$619,MATCH("Layer",Template!$D$2:$V$2,0),FALSE),"NA")</f>
        <v>N3</v>
      </c>
      <c r="AB163" s="21">
        <f>VLOOKUP(Template!$M163,Template!$D$3:$F$619,MATCH("InternalGrade",Template!$D$2:$F$2,0),FALSE)-Template!$F163</f>
        <v>0</v>
      </c>
      <c r="AC163" s="17">
        <f>IF(Template!$AB163&lt;=1, 0.8,IF(Template!$AB163=2,0.4,IF(Template!$AB163=3,0.2,IF(Template!$AB163=4,0.1,IF(Template!$AB163&gt;=5,0.05,"erro")))))</f>
        <v>0.8</v>
      </c>
      <c r="AD163" s="17" t="b">
        <f>Template!$D163=Template!$M163</f>
        <v>0</v>
      </c>
      <c r="AE163" s="12" t="s">
        <v>58</v>
      </c>
    </row>
    <row r="164" ht="15.75" customHeight="1">
      <c r="A164" s="7" t="s">
        <v>190</v>
      </c>
      <c r="B164" s="7" t="s">
        <v>191</v>
      </c>
      <c r="C164" s="7" t="s">
        <v>205</v>
      </c>
      <c r="D164" s="13">
        <v>22747.0</v>
      </c>
      <c r="E164" s="7" t="s">
        <v>193</v>
      </c>
      <c r="F164" s="13"/>
      <c r="G164" s="14" t="s">
        <v>63</v>
      </c>
      <c r="H164" s="7" t="s">
        <v>194</v>
      </c>
      <c r="I164" s="7" t="s">
        <v>195</v>
      </c>
      <c r="J164" s="7" t="s">
        <v>70</v>
      </c>
      <c r="K164" s="15">
        <v>44887.0</v>
      </c>
      <c r="L164" s="15">
        <v>31153.0</v>
      </c>
      <c r="M164" s="13">
        <v>25270.0</v>
      </c>
      <c r="N164" s="7"/>
      <c r="O164" s="7"/>
      <c r="P164" s="7">
        <v>13.33</v>
      </c>
      <c r="Q164" s="7"/>
      <c r="R164" s="20"/>
      <c r="S164" s="7"/>
      <c r="T164" s="20"/>
      <c r="U164" s="16">
        <f>SUM(Template!$N164:$O164)*Template!$P164+Template!$Q164</f>
        <v>0</v>
      </c>
      <c r="V164" s="17" t="str">
        <f>IF(Template!$M164="CONSELHO","N",IF(Template!$AA164="N","N1",IF(Template!$AA164="N1","N2",IF(Template!$AA164="N2","N3",IF(Template!$AA164="N3","N4",IF(Template!$AA164="N4","N5",IF(Template!$AA164="N5","N6",IF(Template!$AA164="N6","N7",IF(Template!$AA164="N7","N8",IF(Template!$AA164="N8","N9",IF(Template!$AA164="N9","N10","NA")))))))))))</f>
        <v>N4</v>
      </c>
      <c r="W164" s="17">
        <f>COUNTIF(Template!$M$3:$M$619,Template!$D164)</f>
        <v>0</v>
      </c>
      <c r="X164" s="17" t="str">
        <f>IF(Template!$F164="","",SUMIF(Template!$M$3:$M$619,Template!$D164,Template!$AC$3:$AC$619))</f>
        <v/>
      </c>
      <c r="Y164" s="17" t="str">
        <f>IFERROR(VLOOKUP(Template!$M164,Template!$D$3:$G$619,MATCH("EmployeeJobTitle",Template!$D$2:$G$2,0),FALSE),"NA")</f>
        <v>GERENTE DE LOJA SR</v>
      </c>
      <c r="Z164" s="17" t="str">
        <f>IFERROR(VLOOKUP(Template!$M164,Template!$D$3:$G$619,MATCH("EmployeeGroup",Template!$D$2:$G$2,0),FALSE),"NA")</f>
        <v>GERENTE</v>
      </c>
      <c r="AA164" s="17" t="str">
        <f>IFERROR(VLOOKUP(Template!$M164,Template!$D$3:$V$619,MATCH("Layer",Template!$D$2:$V$2,0),FALSE),"NA")</f>
        <v>N3</v>
      </c>
      <c r="AB164" s="21">
        <f>VLOOKUP(Template!$M164,Template!$D$3:$F$619,MATCH("InternalGrade",Template!$D$2:$F$2,0),FALSE)-Template!$F164</f>
        <v>0</v>
      </c>
      <c r="AC164" s="17">
        <f>IF(Template!$AB164&lt;=1, 0.8,IF(Template!$AB164=2,0.4,IF(Template!$AB164=3,0.2,IF(Template!$AB164=4,0.1,IF(Template!$AB164&gt;=5,0.05,"erro")))))</f>
        <v>0.8</v>
      </c>
      <c r="AD164" s="17" t="b">
        <f>Template!$D164=Template!$M164</f>
        <v>0</v>
      </c>
      <c r="AE164" s="12" t="s">
        <v>58</v>
      </c>
    </row>
    <row r="165" ht="15.75" customHeight="1">
      <c r="A165" s="7" t="s">
        <v>190</v>
      </c>
      <c r="B165" s="7" t="s">
        <v>191</v>
      </c>
      <c r="C165" s="7" t="s">
        <v>205</v>
      </c>
      <c r="D165" s="13">
        <v>16111.0</v>
      </c>
      <c r="E165" s="7" t="s">
        <v>193</v>
      </c>
      <c r="F165" s="13"/>
      <c r="G165" s="14" t="s">
        <v>63</v>
      </c>
      <c r="H165" s="7" t="s">
        <v>194</v>
      </c>
      <c r="I165" s="7" t="s">
        <v>195</v>
      </c>
      <c r="J165" s="7" t="s">
        <v>70</v>
      </c>
      <c r="K165" s="15">
        <v>42919.0</v>
      </c>
      <c r="L165" s="15">
        <v>33590.0</v>
      </c>
      <c r="M165" s="13">
        <v>25270.0</v>
      </c>
      <c r="N165" s="7"/>
      <c r="O165" s="7"/>
      <c r="P165" s="7">
        <v>13.33</v>
      </c>
      <c r="Q165" s="7"/>
      <c r="R165" s="20"/>
      <c r="S165" s="7"/>
      <c r="T165" s="20"/>
      <c r="U165" s="16">
        <f>SUM(Template!$N165:$O165)*Template!$P165+Template!$Q165</f>
        <v>0</v>
      </c>
      <c r="V165" s="17" t="str">
        <f>IF(Template!$M165="CONSELHO","N",IF(Template!$AA165="N","N1",IF(Template!$AA165="N1","N2",IF(Template!$AA165="N2","N3",IF(Template!$AA165="N3","N4",IF(Template!$AA165="N4","N5",IF(Template!$AA165="N5","N6",IF(Template!$AA165="N6","N7",IF(Template!$AA165="N7","N8",IF(Template!$AA165="N8","N9",IF(Template!$AA165="N9","N10","NA")))))))))))</f>
        <v>N4</v>
      </c>
      <c r="W165" s="17">
        <f>COUNTIF(Template!$M$3:$M$619,Template!$D165)</f>
        <v>0</v>
      </c>
      <c r="X165" s="17" t="str">
        <f>IF(Template!$F165="","",SUMIF(Template!$M$3:$M$619,Template!$D165,Template!$AC$3:$AC$619))</f>
        <v/>
      </c>
      <c r="Y165" s="17" t="str">
        <f>IFERROR(VLOOKUP(Template!$M165,Template!$D$3:$G$619,MATCH("EmployeeJobTitle",Template!$D$2:$G$2,0),FALSE),"NA")</f>
        <v>GERENTE DE LOJA SR</v>
      </c>
      <c r="Z165" s="17" t="str">
        <f>IFERROR(VLOOKUP(Template!$M165,Template!$D$3:$G$619,MATCH("EmployeeGroup",Template!$D$2:$G$2,0),FALSE),"NA")</f>
        <v>GERENTE</v>
      </c>
      <c r="AA165" s="17" t="str">
        <f>IFERROR(VLOOKUP(Template!$M165,Template!$D$3:$V$619,MATCH("Layer",Template!$D$2:$V$2,0),FALSE),"NA")</f>
        <v>N3</v>
      </c>
      <c r="AB165" s="21">
        <f>VLOOKUP(Template!$M165,Template!$D$3:$F$619,MATCH("InternalGrade",Template!$D$2:$F$2,0),FALSE)-Template!$F165</f>
        <v>0</v>
      </c>
      <c r="AC165" s="17">
        <f>IF(Template!$AB165&lt;=1, 0.8,IF(Template!$AB165=2,0.4,IF(Template!$AB165=3,0.2,IF(Template!$AB165=4,0.1,IF(Template!$AB165&gt;=5,0.05,"erro")))))</f>
        <v>0.8</v>
      </c>
      <c r="AD165" s="17" t="b">
        <f>Template!$D165=Template!$M165</f>
        <v>0</v>
      </c>
      <c r="AE165" s="12" t="s">
        <v>58</v>
      </c>
    </row>
    <row r="166" ht="15.75" customHeight="1">
      <c r="A166" s="7" t="s">
        <v>190</v>
      </c>
      <c r="B166" s="7" t="s">
        <v>191</v>
      </c>
      <c r="C166" s="7" t="s">
        <v>205</v>
      </c>
      <c r="D166" s="13">
        <v>20519.0</v>
      </c>
      <c r="E166" s="7" t="s">
        <v>198</v>
      </c>
      <c r="F166" s="13"/>
      <c r="G166" s="14" t="s">
        <v>63</v>
      </c>
      <c r="H166" s="7" t="s">
        <v>194</v>
      </c>
      <c r="I166" s="7" t="s">
        <v>195</v>
      </c>
      <c r="J166" s="7" t="s">
        <v>70</v>
      </c>
      <c r="K166" s="15">
        <v>44683.0</v>
      </c>
      <c r="L166" s="15">
        <v>24563.0</v>
      </c>
      <c r="M166" s="13">
        <v>25270.0</v>
      </c>
      <c r="N166" s="7">
        <v>1565.0</v>
      </c>
      <c r="O166" s="7"/>
      <c r="P166" s="7">
        <v>13.33</v>
      </c>
      <c r="Q166" s="7"/>
      <c r="R166" s="20"/>
      <c r="S166" s="7"/>
      <c r="T166" s="20"/>
      <c r="U166" s="16">
        <f>SUM(Template!$N166:$O166)*Template!$P166+Template!$Q166</f>
        <v>20861.45</v>
      </c>
      <c r="V166" s="17" t="str">
        <f>IF(Template!$M166="CONSELHO","N",IF(Template!$AA166="N","N1",IF(Template!$AA166="N1","N2",IF(Template!$AA166="N2","N3",IF(Template!$AA166="N3","N4",IF(Template!$AA166="N4","N5",IF(Template!$AA166="N5","N6",IF(Template!$AA166="N6","N7",IF(Template!$AA166="N7","N8",IF(Template!$AA166="N8","N9",IF(Template!$AA166="N9","N10","NA")))))))))))</f>
        <v>N4</v>
      </c>
      <c r="W166" s="17">
        <f>COUNTIF(Template!$M$3:$M$619,Template!$D166)</f>
        <v>0</v>
      </c>
      <c r="X166" s="17" t="str">
        <f>IF(Template!$F166="","",SUMIF(Template!$M$3:$M$619,Template!$D166,Template!$AC$3:$AC$619))</f>
        <v/>
      </c>
      <c r="Y166" s="17" t="str">
        <f>IFERROR(VLOOKUP(Template!$M166,Template!$D$3:$G$619,MATCH("EmployeeJobTitle",Template!$D$2:$G$2,0),FALSE),"NA")</f>
        <v>GERENTE DE LOJA SR</v>
      </c>
      <c r="Z166" s="17" t="str">
        <f>IFERROR(VLOOKUP(Template!$M166,Template!$D$3:$G$619,MATCH("EmployeeGroup",Template!$D$2:$G$2,0),FALSE),"NA")</f>
        <v>GERENTE</v>
      </c>
      <c r="AA166" s="17" t="str">
        <f>IFERROR(VLOOKUP(Template!$M166,Template!$D$3:$V$619,MATCH("Layer",Template!$D$2:$V$2,0),FALSE),"NA")</f>
        <v>N3</v>
      </c>
      <c r="AB166" s="21">
        <f>VLOOKUP(Template!$M166,Template!$D$3:$F$619,MATCH("InternalGrade",Template!$D$2:$F$2,0),FALSE)-Template!$F166</f>
        <v>0</v>
      </c>
      <c r="AC166" s="17">
        <f>IF(Template!$AB166&lt;=1, 0.8,IF(Template!$AB166=2,0.4,IF(Template!$AB166=3,0.2,IF(Template!$AB166=4,0.1,IF(Template!$AB166&gt;=5,0.05,"erro")))))</f>
        <v>0.8</v>
      </c>
      <c r="AD166" s="17" t="b">
        <f>Template!$D166=Template!$M166</f>
        <v>0</v>
      </c>
      <c r="AE166" s="12" t="s">
        <v>58</v>
      </c>
    </row>
    <row r="167" ht="15.75" customHeight="1">
      <c r="A167" s="7" t="s">
        <v>190</v>
      </c>
      <c r="B167" s="7" t="s">
        <v>191</v>
      </c>
      <c r="C167" s="7" t="s">
        <v>205</v>
      </c>
      <c r="D167" s="13">
        <v>19630.0</v>
      </c>
      <c r="E167" s="7" t="s">
        <v>193</v>
      </c>
      <c r="F167" s="13"/>
      <c r="G167" s="14" t="s">
        <v>63</v>
      </c>
      <c r="H167" s="7" t="s">
        <v>194</v>
      </c>
      <c r="I167" s="7" t="s">
        <v>195</v>
      </c>
      <c r="J167" s="7" t="s">
        <v>70</v>
      </c>
      <c r="K167" s="15">
        <v>44368.0</v>
      </c>
      <c r="L167" s="15">
        <v>29010.0</v>
      </c>
      <c r="M167" s="13">
        <v>25270.0</v>
      </c>
      <c r="N167" s="7"/>
      <c r="O167" s="7"/>
      <c r="P167" s="7">
        <v>13.33</v>
      </c>
      <c r="Q167" s="7"/>
      <c r="R167" s="20"/>
      <c r="S167" s="7"/>
      <c r="T167" s="20"/>
      <c r="U167" s="16">
        <f>SUM(Template!$N167:$O167)*Template!$P167+Template!$Q167</f>
        <v>0</v>
      </c>
      <c r="V167" s="17" t="str">
        <f>IF(Template!$M167="CONSELHO","N",IF(Template!$AA167="N","N1",IF(Template!$AA167="N1","N2",IF(Template!$AA167="N2","N3",IF(Template!$AA167="N3","N4",IF(Template!$AA167="N4","N5",IF(Template!$AA167="N5","N6",IF(Template!$AA167="N6","N7",IF(Template!$AA167="N7","N8",IF(Template!$AA167="N8","N9",IF(Template!$AA167="N9","N10","NA")))))))))))</f>
        <v>N4</v>
      </c>
      <c r="W167" s="17">
        <f>COUNTIF(Template!$M$3:$M$619,Template!$D167)</f>
        <v>0</v>
      </c>
      <c r="X167" s="17" t="str">
        <f>IF(Template!$F167="","",SUMIF(Template!$M$3:$M$619,Template!$D167,Template!$AC$3:$AC$619))</f>
        <v/>
      </c>
      <c r="Y167" s="17" t="str">
        <f>IFERROR(VLOOKUP(Template!$M167,Template!$D$3:$G$619,MATCH("EmployeeJobTitle",Template!$D$2:$G$2,0),FALSE),"NA")</f>
        <v>GERENTE DE LOJA SR</v>
      </c>
      <c r="Z167" s="17" t="str">
        <f>IFERROR(VLOOKUP(Template!$M167,Template!$D$3:$G$619,MATCH("EmployeeGroup",Template!$D$2:$G$2,0),FALSE),"NA")</f>
        <v>GERENTE</v>
      </c>
      <c r="AA167" s="17" t="str">
        <f>IFERROR(VLOOKUP(Template!$M167,Template!$D$3:$V$619,MATCH("Layer",Template!$D$2:$V$2,0),FALSE),"NA")</f>
        <v>N3</v>
      </c>
      <c r="AB167" s="21">
        <f>VLOOKUP(Template!$M167,Template!$D$3:$F$619,MATCH("InternalGrade",Template!$D$2:$F$2,0),FALSE)-Template!$F167</f>
        <v>0</v>
      </c>
      <c r="AC167" s="17">
        <f>IF(Template!$AB167&lt;=1, 0.8,IF(Template!$AB167=2,0.4,IF(Template!$AB167=3,0.2,IF(Template!$AB167=4,0.1,IF(Template!$AB167&gt;=5,0.05,"erro")))))</f>
        <v>0.8</v>
      </c>
      <c r="AD167" s="17" t="b">
        <f>Template!$D167=Template!$M167</f>
        <v>0</v>
      </c>
      <c r="AE167" s="12" t="s">
        <v>58</v>
      </c>
    </row>
    <row r="168" ht="15.75" customHeight="1">
      <c r="A168" s="7" t="s">
        <v>190</v>
      </c>
      <c r="B168" s="7" t="s">
        <v>191</v>
      </c>
      <c r="C168" s="7" t="s">
        <v>205</v>
      </c>
      <c r="D168" s="13">
        <v>24089.0</v>
      </c>
      <c r="E168" s="7" t="s">
        <v>193</v>
      </c>
      <c r="F168" s="13"/>
      <c r="G168" s="14" t="s">
        <v>63</v>
      </c>
      <c r="H168" s="7" t="s">
        <v>194</v>
      </c>
      <c r="I168" s="7" t="s">
        <v>195</v>
      </c>
      <c r="J168" s="7" t="s">
        <v>70</v>
      </c>
      <c r="K168" s="15">
        <v>45089.0</v>
      </c>
      <c r="L168" s="15">
        <v>28844.0</v>
      </c>
      <c r="M168" s="13">
        <v>25270.0</v>
      </c>
      <c r="N168" s="7"/>
      <c r="O168" s="7"/>
      <c r="P168" s="7">
        <v>13.33</v>
      </c>
      <c r="Q168" s="7"/>
      <c r="R168" s="20"/>
      <c r="S168" s="7"/>
      <c r="T168" s="20"/>
      <c r="U168" s="16">
        <f>SUM(Template!$N168:$O168)*Template!$P168+Template!$Q168</f>
        <v>0</v>
      </c>
      <c r="V168" s="17" t="str">
        <f>IF(Template!$M168="CONSELHO","N",IF(Template!$AA168="N","N1",IF(Template!$AA168="N1","N2",IF(Template!$AA168="N2","N3",IF(Template!$AA168="N3","N4",IF(Template!$AA168="N4","N5",IF(Template!$AA168="N5","N6",IF(Template!$AA168="N6","N7",IF(Template!$AA168="N7","N8",IF(Template!$AA168="N8","N9",IF(Template!$AA168="N9","N10","NA")))))))))))</f>
        <v>N4</v>
      </c>
      <c r="W168" s="17">
        <f>COUNTIF(Template!$M$3:$M$619,Template!$D168)</f>
        <v>0</v>
      </c>
      <c r="X168" s="17" t="str">
        <f>IF(Template!$F168="","",SUMIF(Template!$M$3:$M$619,Template!$D168,Template!$AC$3:$AC$619))</f>
        <v/>
      </c>
      <c r="Y168" s="17" t="str">
        <f>IFERROR(VLOOKUP(Template!$M168,Template!$D$3:$G$619,MATCH("EmployeeJobTitle",Template!$D$2:$G$2,0),FALSE),"NA")</f>
        <v>GERENTE DE LOJA SR</v>
      </c>
      <c r="Z168" s="17" t="str">
        <f>IFERROR(VLOOKUP(Template!$M168,Template!$D$3:$G$619,MATCH("EmployeeGroup",Template!$D$2:$G$2,0),FALSE),"NA")</f>
        <v>GERENTE</v>
      </c>
      <c r="AA168" s="17" t="str">
        <f>IFERROR(VLOOKUP(Template!$M168,Template!$D$3:$V$619,MATCH("Layer",Template!$D$2:$V$2,0),FALSE),"NA")</f>
        <v>N3</v>
      </c>
      <c r="AB168" s="21">
        <f>VLOOKUP(Template!$M168,Template!$D$3:$F$619,MATCH("InternalGrade",Template!$D$2:$F$2,0),FALSE)-Template!$F168</f>
        <v>0</v>
      </c>
      <c r="AC168" s="17">
        <f>IF(Template!$AB168&lt;=1, 0.8,IF(Template!$AB168=2,0.4,IF(Template!$AB168=3,0.2,IF(Template!$AB168=4,0.1,IF(Template!$AB168&gt;=5,0.05,"erro")))))</f>
        <v>0.8</v>
      </c>
      <c r="AD168" s="17" t="b">
        <f>Template!$D168=Template!$M168</f>
        <v>0</v>
      </c>
      <c r="AE168" s="12" t="s">
        <v>58</v>
      </c>
    </row>
    <row r="169" ht="15.75" customHeight="1">
      <c r="A169" s="7" t="s">
        <v>190</v>
      </c>
      <c r="B169" s="7" t="s">
        <v>191</v>
      </c>
      <c r="C169" s="7" t="s">
        <v>205</v>
      </c>
      <c r="D169" s="13">
        <v>25425.0</v>
      </c>
      <c r="E169" s="7" t="s">
        <v>193</v>
      </c>
      <c r="F169" s="13"/>
      <c r="G169" s="14" t="s">
        <v>63</v>
      </c>
      <c r="H169" s="7" t="s">
        <v>194</v>
      </c>
      <c r="I169" s="7" t="s">
        <v>195</v>
      </c>
      <c r="J169" s="7" t="s">
        <v>70</v>
      </c>
      <c r="K169" s="15">
        <v>45566.0</v>
      </c>
      <c r="L169" s="15">
        <v>34256.0</v>
      </c>
      <c r="M169" s="13">
        <v>25270.0</v>
      </c>
      <c r="N169" s="7"/>
      <c r="O169" s="7"/>
      <c r="P169" s="7">
        <v>13.33</v>
      </c>
      <c r="Q169" s="7"/>
      <c r="R169" s="20"/>
      <c r="S169" s="7"/>
      <c r="T169" s="20"/>
      <c r="U169" s="16">
        <f>SUM(Template!$N169:$O169)*Template!$P169+Template!$Q169</f>
        <v>0</v>
      </c>
      <c r="V169" s="17" t="str">
        <f>IF(Template!$M169="CONSELHO","N",IF(Template!$AA169="N","N1",IF(Template!$AA169="N1","N2",IF(Template!$AA169="N2","N3",IF(Template!$AA169="N3","N4",IF(Template!$AA169="N4","N5",IF(Template!$AA169="N5","N6",IF(Template!$AA169="N6","N7",IF(Template!$AA169="N7","N8",IF(Template!$AA169="N8","N9",IF(Template!$AA169="N9","N10","NA")))))))))))</f>
        <v>N4</v>
      </c>
      <c r="W169" s="17">
        <f>COUNTIF(Template!$M$3:$M$619,Template!$D169)</f>
        <v>0</v>
      </c>
      <c r="X169" s="17" t="str">
        <f>IF(Template!$F169="","",SUMIF(Template!$M$3:$M$619,Template!$D169,Template!$AC$3:$AC$619))</f>
        <v/>
      </c>
      <c r="Y169" s="17" t="str">
        <f>IFERROR(VLOOKUP(Template!$M169,Template!$D$3:$G$619,MATCH("EmployeeJobTitle",Template!$D$2:$G$2,0),FALSE),"NA")</f>
        <v>GERENTE DE LOJA SR</v>
      </c>
      <c r="Z169" s="17" t="str">
        <f>IFERROR(VLOOKUP(Template!$M169,Template!$D$3:$G$619,MATCH("EmployeeGroup",Template!$D$2:$G$2,0),FALSE),"NA")</f>
        <v>GERENTE</v>
      </c>
      <c r="AA169" s="17" t="str">
        <f>IFERROR(VLOOKUP(Template!$M169,Template!$D$3:$V$619,MATCH("Layer",Template!$D$2:$V$2,0),FALSE),"NA")</f>
        <v>N3</v>
      </c>
      <c r="AB169" s="21">
        <f>VLOOKUP(Template!$M169,Template!$D$3:$F$619,MATCH("InternalGrade",Template!$D$2:$F$2,0),FALSE)-Template!$F169</f>
        <v>0</v>
      </c>
      <c r="AC169" s="17">
        <f>IF(Template!$AB169&lt;=1, 0.8,IF(Template!$AB169=2,0.4,IF(Template!$AB169=3,0.2,IF(Template!$AB169=4,0.1,IF(Template!$AB169&gt;=5,0.05,"erro")))))</f>
        <v>0.8</v>
      </c>
      <c r="AD169" s="17" t="b">
        <f>Template!$D169=Template!$M169</f>
        <v>0</v>
      </c>
      <c r="AE169" s="12" t="s">
        <v>58</v>
      </c>
    </row>
    <row r="170" ht="15.75" customHeight="1">
      <c r="A170" s="7" t="s">
        <v>190</v>
      </c>
      <c r="B170" s="7" t="s">
        <v>191</v>
      </c>
      <c r="C170" s="7" t="s">
        <v>205</v>
      </c>
      <c r="D170" s="13">
        <v>18684.0</v>
      </c>
      <c r="E170" s="7" t="s">
        <v>203</v>
      </c>
      <c r="F170" s="13"/>
      <c r="G170" s="14" t="s">
        <v>63</v>
      </c>
      <c r="H170" s="7" t="s">
        <v>194</v>
      </c>
      <c r="I170" s="7" t="s">
        <v>195</v>
      </c>
      <c r="J170" s="7" t="s">
        <v>70</v>
      </c>
      <c r="K170" s="15">
        <v>44062.0</v>
      </c>
      <c r="L170" s="15">
        <v>29936.0</v>
      </c>
      <c r="M170" s="13">
        <v>25270.0</v>
      </c>
      <c r="N170" s="7"/>
      <c r="O170" s="7"/>
      <c r="P170" s="7">
        <v>13.33</v>
      </c>
      <c r="Q170" s="7"/>
      <c r="R170" s="20"/>
      <c r="S170" s="7"/>
      <c r="T170" s="20"/>
      <c r="U170" s="16">
        <f>SUM(Template!$N170:$O170)*Template!$P170+Template!$Q170</f>
        <v>0</v>
      </c>
      <c r="V170" s="17" t="str">
        <f>IF(Template!$M170="CONSELHO","N",IF(Template!$AA170="N","N1",IF(Template!$AA170="N1","N2",IF(Template!$AA170="N2","N3",IF(Template!$AA170="N3","N4",IF(Template!$AA170="N4","N5",IF(Template!$AA170="N5","N6",IF(Template!$AA170="N6","N7",IF(Template!$AA170="N7","N8",IF(Template!$AA170="N8","N9",IF(Template!$AA170="N9","N10","NA")))))))))))</f>
        <v>N4</v>
      </c>
      <c r="W170" s="17">
        <f>COUNTIF(Template!$M$3:$M$619,Template!$D170)</f>
        <v>0</v>
      </c>
      <c r="X170" s="17" t="str">
        <f>IF(Template!$F170="","",SUMIF(Template!$M$3:$M$619,Template!$D170,Template!$AC$3:$AC$619))</f>
        <v/>
      </c>
      <c r="Y170" s="17" t="str">
        <f>IFERROR(VLOOKUP(Template!$M170,Template!$D$3:$G$619,MATCH("EmployeeJobTitle",Template!$D$2:$G$2,0),FALSE),"NA")</f>
        <v>GERENTE DE LOJA SR</v>
      </c>
      <c r="Z170" s="17" t="str">
        <f>IFERROR(VLOOKUP(Template!$M170,Template!$D$3:$G$619,MATCH("EmployeeGroup",Template!$D$2:$G$2,0),FALSE),"NA")</f>
        <v>GERENTE</v>
      </c>
      <c r="AA170" s="17" t="str">
        <f>IFERROR(VLOOKUP(Template!$M170,Template!$D$3:$V$619,MATCH("Layer",Template!$D$2:$V$2,0),FALSE),"NA")</f>
        <v>N3</v>
      </c>
      <c r="AB170" s="21">
        <f>VLOOKUP(Template!$M170,Template!$D$3:$F$619,MATCH("InternalGrade",Template!$D$2:$F$2,0),FALSE)-Template!$F170</f>
        <v>0</v>
      </c>
      <c r="AC170" s="17">
        <f>IF(Template!$AB170&lt;=1, 0.8,IF(Template!$AB170=2,0.4,IF(Template!$AB170=3,0.2,IF(Template!$AB170=4,0.1,IF(Template!$AB170&gt;=5,0.05,"erro")))))</f>
        <v>0.8</v>
      </c>
      <c r="AD170" s="17" t="b">
        <f>Template!$D170=Template!$M170</f>
        <v>0</v>
      </c>
      <c r="AE170" s="12" t="s">
        <v>58</v>
      </c>
    </row>
    <row r="171" ht="15.75" customHeight="1">
      <c r="A171" s="7" t="s">
        <v>190</v>
      </c>
      <c r="B171" s="7" t="s">
        <v>191</v>
      </c>
      <c r="C171" s="7" t="s">
        <v>205</v>
      </c>
      <c r="D171" s="13">
        <v>17114.0</v>
      </c>
      <c r="E171" s="7" t="s">
        <v>193</v>
      </c>
      <c r="F171" s="13"/>
      <c r="G171" s="14" t="s">
        <v>63</v>
      </c>
      <c r="H171" s="7" t="s">
        <v>194</v>
      </c>
      <c r="I171" s="7" t="s">
        <v>195</v>
      </c>
      <c r="J171" s="7" t="s">
        <v>70</v>
      </c>
      <c r="K171" s="15">
        <v>43388.0</v>
      </c>
      <c r="L171" s="15">
        <v>28756.0</v>
      </c>
      <c r="M171" s="13">
        <v>25270.0</v>
      </c>
      <c r="N171" s="7"/>
      <c r="O171" s="7"/>
      <c r="P171" s="7">
        <v>13.33</v>
      </c>
      <c r="Q171" s="7"/>
      <c r="R171" s="20"/>
      <c r="S171" s="7"/>
      <c r="T171" s="20"/>
      <c r="U171" s="16">
        <f>SUM(Template!$N171:$O171)*Template!$P171+Template!$Q171</f>
        <v>0</v>
      </c>
      <c r="V171" s="17" t="str">
        <f>IF(Template!$M171="CONSELHO","N",IF(Template!$AA171="N","N1",IF(Template!$AA171="N1","N2",IF(Template!$AA171="N2","N3",IF(Template!$AA171="N3","N4",IF(Template!$AA171="N4","N5",IF(Template!$AA171="N5","N6",IF(Template!$AA171="N6","N7",IF(Template!$AA171="N7","N8",IF(Template!$AA171="N8","N9",IF(Template!$AA171="N9","N10","NA")))))))))))</f>
        <v>N4</v>
      </c>
      <c r="W171" s="17">
        <f>COUNTIF(Template!$M$3:$M$619,Template!$D171)</f>
        <v>0</v>
      </c>
      <c r="X171" s="17" t="str">
        <f>IF(Template!$F171="","",SUMIF(Template!$M$3:$M$619,Template!$D171,Template!$AC$3:$AC$619))</f>
        <v/>
      </c>
      <c r="Y171" s="17" t="str">
        <f>IFERROR(VLOOKUP(Template!$M171,Template!$D$3:$G$619,MATCH("EmployeeJobTitle",Template!$D$2:$G$2,0),FALSE),"NA")</f>
        <v>GERENTE DE LOJA SR</v>
      </c>
      <c r="Z171" s="17" t="str">
        <f>IFERROR(VLOOKUP(Template!$M171,Template!$D$3:$G$619,MATCH("EmployeeGroup",Template!$D$2:$G$2,0),FALSE),"NA")</f>
        <v>GERENTE</v>
      </c>
      <c r="AA171" s="17" t="str">
        <f>IFERROR(VLOOKUP(Template!$M171,Template!$D$3:$V$619,MATCH("Layer",Template!$D$2:$V$2,0),FALSE),"NA")</f>
        <v>N3</v>
      </c>
      <c r="AB171" s="21">
        <f>VLOOKUP(Template!$M171,Template!$D$3:$F$619,MATCH("InternalGrade",Template!$D$2:$F$2,0),FALSE)-Template!$F171</f>
        <v>0</v>
      </c>
      <c r="AC171" s="17">
        <f>IF(Template!$AB171&lt;=1, 0.8,IF(Template!$AB171=2,0.4,IF(Template!$AB171=3,0.2,IF(Template!$AB171=4,0.1,IF(Template!$AB171&gt;=5,0.05,"erro")))))</f>
        <v>0.8</v>
      </c>
      <c r="AD171" s="17" t="b">
        <f>Template!$D171=Template!$M171</f>
        <v>0</v>
      </c>
      <c r="AE171" s="12" t="s">
        <v>58</v>
      </c>
    </row>
    <row r="172" ht="15.75" customHeight="1">
      <c r="A172" s="7" t="s">
        <v>190</v>
      </c>
      <c r="B172" s="7" t="s">
        <v>191</v>
      </c>
      <c r="C172" s="7" t="s">
        <v>205</v>
      </c>
      <c r="D172" s="13">
        <v>25424.0</v>
      </c>
      <c r="E172" s="7" t="s">
        <v>193</v>
      </c>
      <c r="F172" s="13"/>
      <c r="G172" s="14" t="s">
        <v>63</v>
      </c>
      <c r="H172" s="7" t="s">
        <v>194</v>
      </c>
      <c r="I172" s="7" t="s">
        <v>195</v>
      </c>
      <c r="J172" s="7" t="s">
        <v>70</v>
      </c>
      <c r="K172" s="15">
        <v>45566.0</v>
      </c>
      <c r="L172" s="15">
        <v>37500.0</v>
      </c>
      <c r="M172" s="13">
        <v>25270.0</v>
      </c>
      <c r="N172" s="7"/>
      <c r="O172" s="7"/>
      <c r="P172" s="7">
        <v>13.33</v>
      </c>
      <c r="Q172" s="7"/>
      <c r="R172" s="20"/>
      <c r="S172" s="7"/>
      <c r="T172" s="20"/>
      <c r="U172" s="16">
        <f>SUM(Template!$N172:$O172)*Template!$P172+Template!$Q172</f>
        <v>0</v>
      </c>
      <c r="V172" s="17" t="str">
        <f>IF(Template!$M172="CONSELHO","N",IF(Template!$AA172="N","N1",IF(Template!$AA172="N1","N2",IF(Template!$AA172="N2","N3",IF(Template!$AA172="N3","N4",IF(Template!$AA172="N4","N5",IF(Template!$AA172="N5","N6",IF(Template!$AA172="N6","N7",IF(Template!$AA172="N7","N8",IF(Template!$AA172="N8","N9",IF(Template!$AA172="N9","N10","NA")))))))))))</f>
        <v>N4</v>
      </c>
      <c r="W172" s="17">
        <f>COUNTIF(Template!$M$3:$M$619,Template!$D172)</f>
        <v>0</v>
      </c>
      <c r="X172" s="17" t="str">
        <f>IF(Template!$F172="","",SUMIF(Template!$M$3:$M$619,Template!$D172,Template!$AC$3:$AC$619))</f>
        <v/>
      </c>
      <c r="Y172" s="17" t="str">
        <f>IFERROR(VLOOKUP(Template!$M172,Template!$D$3:$G$619,MATCH("EmployeeJobTitle",Template!$D$2:$G$2,0),FALSE),"NA")</f>
        <v>GERENTE DE LOJA SR</v>
      </c>
      <c r="Z172" s="17" t="str">
        <f>IFERROR(VLOOKUP(Template!$M172,Template!$D$3:$G$619,MATCH("EmployeeGroup",Template!$D$2:$G$2,0),FALSE),"NA")</f>
        <v>GERENTE</v>
      </c>
      <c r="AA172" s="17" t="str">
        <f>IFERROR(VLOOKUP(Template!$M172,Template!$D$3:$V$619,MATCH("Layer",Template!$D$2:$V$2,0),FALSE),"NA")</f>
        <v>N3</v>
      </c>
      <c r="AB172" s="21">
        <f>VLOOKUP(Template!$M172,Template!$D$3:$F$619,MATCH("InternalGrade",Template!$D$2:$F$2,0),FALSE)-Template!$F172</f>
        <v>0</v>
      </c>
      <c r="AC172" s="17">
        <f>IF(Template!$AB172&lt;=1, 0.8,IF(Template!$AB172=2,0.4,IF(Template!$AB172=3,0.2,IF(Template!$AB172=4,0.1,IF(Template!$AB172&gt;=5,0.05,"erro")))))</f>
        <v>0.8</v>
      </c>
      <c r="AD172" s="17" t="b">
        <f>Template!$D172=Template!$M172</f>
        <v>0</v>
      </c>
      <c r="AE172" s="12" t="s">
        <v>58</v>
      </c>
    </row>
    <row r="173" ht="15.75" customHeight="1">
      <c r="A173" s="7" t="s">
        <v>190</v>
      </c>
      <c r="B173" s="7" t="s">
        <v>191</v>
      </c>
      <c r="C173" s="7" t="s">
        <v>205</v>
      </c>
      <c r="D173" s="13">
        <v>25263.0</v>
      </c>
      <c r="E173" s="7" t="s">
        <v>193</v>
      </c>
      <c r="F173" s="13"/>
      <c r="G173" s="14" t="s">
        <v>63</v>
      </c>
      <c r="H173" s="7" t="s">
        <v>194</v>
      </c>
      <c r="I173" s="7" t="s">
        <v>195</v>
      </c>
      <c r="J173" s="7" t="s">
        <v>70</v>
      </c>
      <c r="K173" s="15">
        <v>45510.0</v>
      </c>
      <c r="L173" s="15">
        <v>36038.0</v>
      </c>
      <c r="M173" s="13">
        <v>25270.0</v>
      </c>
      <c r="N173" s="7"/>
      <c r="O173" s="7"/>
      <c r="P173" s="7">
        <v>13.33</v>
      </c>
      <c r="Q173" s="7"/>
      <c r="R173" s="20"/>
      <c r="S173" s="7"/>
      <c r="T173" s="20"/>
      <c r="U173" s="16">
        <f>SUM(Template!$N173:$O173)*Template!$P173+Template!$Q173</f>
        <v>0</v>
      </c>
      <c r="V173" s="17" t="str">
        <f>IF(Template!$M173="CONSELHO","N",IF(Template!$AA173="N","N1",IF(Template!$AA173="N1","N2",IF(Template!$AA173="N2","N3",IF(Template!$AA173="N3","N4",IF(Template!$AA173="N4","N5",IF(Template!$AA173="N5","N6",IF(Template!$AA173="N6","N7",IF(Template!$AA173="N7","N8",IF(Template!$AA173="N8","N9",IF(Template!$AA173="N9","N10","NA")))))))))))</f>
        <v>N4</v>
      </c>
      <c r="W173" s="17">
        <f>COUNTIF(Template!$M$3:$M$619,Template!$D173)</f>
        <v>0</v>
      </c>
      <c r="X173" s="17" t="str">
        <f>IF(Template!$F173="","",SUMIF(Template!$M$3:$M$619,Template!$D173,Template!$AC$3:$AC$619))</f>
        <v/>
      </c>
      <c r="Y173" s="17" t="str">
        <f>IFERROR(VLOOKUP(Template!$M173,Template!$D$3:$G$619,MATCH("EmployeeJobTitle",Template!$D$2:$G$2,0),FALSE),"NA")</f>
        <v>GERENTE DE LOJA SR</v>
      </c>
      <c r="Z173" s="17" t="str">
        <f>IFERROR(VLOOKUP(Template!$M173,Template!$D$3:$G$619,MATCH("EmployeeGroup",Template!$D$2:$G$2,0),FALSE),"NA")</f>
        <v>GERENTE</v>
      </c>
      <c r="AA173" s="17" t="str">
        <f>IFERROR(VLOOKUP(Template!$M173,Template!$D$3:$V$619,MATCH("Layer",Template!$D$2:$V$2,0),FALSE),"NA")</f>
        <v>N3</v>
      </c>
      <c r="AB173" s="21">
        <f>VLOOKUP(Template!$M173,Template!$D$3:$F$619,MATCH("InternalGrade",Template!$D$2:$F$2,0),FALSE)-Template!$F173</f>
        <v>0</v>
      </c>
      <c r="AC173" s="17">
        <f>IF(Template!$AB173&lt;=1, 0.8,IF(Template!$AB173=2,0.4,IF(Template!$AB173=3,0.2,IF(Template!$AB173=4,0.1,IF(Template!$AB173&gt;=5,0.05,"erro")))))</f>
        <v>0.8</v>
      </c>
      <c r="AD173" s="17" t="b">
        <f>Template!$D173=Template!$M173</f>
        <v>0</v>
      </c>
      <c r="AE173" s="12" t="s">
        <v>58</v>
      </c>
    </row>
    <row r="174" ht="15.75" customHeight="1">
      <c r="A174" s="7" t="s">
        <v>190</v>
      </c>
      <c r="B174" s="7" t="s">
        <v>191</v>
      </c>
      <c r="C174" s="7" t="s">
        <v>205</v>
      </c>
      <c r="D174" s="13">
        <v>25270.0</v>
      </c>
      <c r="E174" s="7" t="s">
        <v>208</v>
      </c>
      <c r="F174" s="13"/>
      <c r="G174" s="22" t="s">
        <v>200</v>
      </c>
      <c r="H174" s="7" t="s">
        <v>194</v>
      </c>
      <c r="I174" s="7" t="s">
        <v>195</v>
      </c>
      <c r="J174" s="7" t="s">
        <v>70</v>
      </c>
      <c r="K174" s="15">
        <v>45509.0</v>
      </c>
      <c r="L174" s="15">
        <v>31615.0</v>
      </c>
      <c r="M174" s="13">
        <v>23256.0</v>
      </c>
      <c r="N174" s="7">
        <v>6500.0</v>
      </c>
      <c r="O174" s="7"/>
      <c r="P174" s="7">
        <v>13.33</v>
      </c>
      <c r="Q174" s="7"/>
      <c r="R174" s="20"/>
      <c r="S174" s="7"/>
      <c r="T174" s="20"/>
      <c r="U174" s="16">
        <f>SUM(Template!$N174:$O174)*Template!$P174+Template!$Q174</f>
        <v>86645</v>
      </c>
      <c r="V174" s="17" t="str">
        <f>IF(Template!$M174="CONSELHO","N",IF(Template!$AA174="N","N1",IF(Template!$AA174="N1","N2",IF(Template!$AA174="N2","N3",IF(Template!$AA174="N3","N4",IF(Template!$AA174="N4","N5",IF(Template!$AA174="N5","N6",IF(Template!$AA174="N6","N7",IF(Template!$AA174="N7","N8",IF(Template!$AA174="N8","N9",IF(Template!$AA174="N9","N10","NA")))))))))))</f>
        <v>N3</v>
      </c>
      <c r="W174" s="17">
        <f>COUNTIF(Template!$M$3:$M$619,Template!$D174)</f>
        <v>25</v>
      </c>
      <c r="X174" s="17" t="str">
        <f>IF(Template!$F174="","",SUMIF(Template!$M$3:$M$619,Template!$D174,Template!$AC$3:$AC$619))</f>
        <v/>
      </c>
      <c r="Y174" s="17" t="str">
        <f>IFERROR(VLOOKUP(Template!$M174,Template!$D$3:$G$619,MATCH("EmployeeJobTitle",Template!$D$2:$G$2,0),FALSE),"NA")</f>
        <v>GERENTE COMERCIAL</v>
      </c>
      <c r="Z174" s="17" t="str">
        <f>IFERROR(VLOOKUP(Template!$M174,Template!$D$3:$G$619,MATCH("EmployeeGroup",Template!$D$2:$G$2,0),FALSE),"NA")</f>
        <v>Coordenador</v>
      </c>
      <c r="AA174" s="17" t="str">
        <f>IFERROR(VLOOKUP(Template!$M174,Template!$D$3:$V$619,MATCH("Layer",Template!$D$2:$V$2,0),FALSE),"NA")</f>
        <v>N2</v>
      </c>
      <c r="AB174" s="21">
        <f>VLOOKUP(Template!$M174,Template!$D$3:$F$619,MATCH("InternalGrade",Template!$D$2:$F$2,0),FALSE)-Template!$F174</f>
        <v>19</v>
      </c>
      <c r="AC174" s="17">
        <f>IF(Template!$AB174&lt;=1, 0.8,IF(Template!$AB174=2,0.4,IF(Template!$AB174=3,0.2,IF(Template!$AB174=4,0.1,IF(Template!$AB174&gt;=5,0.05,"erro")))))</f>
        <v>0.05</v>
      </c>
      <c r="AD174" s="17" t="b">
        <f>Template!$D174=Template!$M174</f>
        <v>0</v>
      </c>
      <c r="AE174" s="12" t="s">
        <v>58</v>
      </c>
    </row>
    <row r="175" ht="15.75" customHeight="1">
      <c r="A175" s="7" t="s">
        <v>190</v>
      </c>
      <c r="B175" s="7" t="s">
        <v>191</v>
      </c>
      <c r="C175" s="7" t="s">
        <v>205</v>
      </c>
      <c r="D175" s="13">
        <v>24407.0</v>
      </c>
      <c r="E175" s="7" t="s">
        <v>201</v>
      </c>
      <c r="F175" s="13"/>
      <c r="G175" s="14" t="s">
        <v>63</v>
      </c>
      <c r="H175" s="7" t="s">
        <v>194</v>
      </c>
      <c r="I175" s="7" t="s">
        <v>195</v>
      </c>
      <c r="J175" s="7" t="s">
        <v>70</v>
      </c>
      <c r="K175" s="15">
        <v>45219.0</v>
      </c>
      <c r="L175" s="15">
        <v>37837.0</v>
      </c>
      <c r="M175" s="13">
        <v>25270.0</v>
      </c>
      <c r="N175" s="7">
        <v>995.08</v>
      </c>
      <c r="O175" s="7"/>
      <c r="P175" s="7">
        <v>13.33</v>
      </c>
      <c r="Q175" s="7"/>
      <c r="R175" s="20"/>
      <c r="S175" s="7"/>
      <c r="T175" s="20"/>
      <c r="U175" s="16">
        <f>SUM(Template!$N175:$O175)*Template!$P175+Template!$Q175</f>
        <v>13264.4164</v>
      </c>
      <c r="V175" s="17" t="str">
        <f>IF(Template!$M175="CONSELHO","N",IF(Template!$AA175="N","N1",IF(Template!$AA175="N1","N2",IF(Template!$AA175="N2","N3",IF(Template!$AA175="N3","N4",IF(Template!$AA175="N4","N5",IF(Template!$AA175="N5","N6",IF(Template!$AA175="N6","N7",IF(Template!$AA175="N7","N8",IF(Template!$AA175="N8","N9",IF(Template!$AA175="N9","N10","NA")))))))))))</f>
        <v>N4</v>
      </c>
      <c r="W175" s="17">
        <f>COUNTIF(Template!$M$3:$M$619,Template!$D175)</f>
        <v>0</v>
      </c>
      <c r="X175" s="17" t="str">
        <f>IF(Template!$F175="","",SUMIF(Template!$M$3:$M$619,Template!$D175,Template!$AC$3:$AC$619))</f>
        <v/>
      </c>
      <c r="Y175" s="17" t="str">
        <f>IFERROR(VLOOKUP(Template!$M175,Template!$D$3:$G$619,MATCH("EmployeeJobTitle",Template!$D$2:$G$2,0),FALSE),"NA")</f>
        <v>GERENTE DE LOJA SR</v>
      </c>
      <c r="Z175" s="17" t="str">
        <f>IFERROR(VLOOKUP(Template!$M175,Template!$D$3:$G$619,MATCH("EmployeeGroup",Template!$D$2:$G$2,0),FALSE),"NA")</f>
        <v>GERENTE</v>
      </c>
      <c r="AA175" s="17" t="str">
        <f>IFERROR(VLOOKUP(Template!$M175,Template!$D$3:$V$619,MATCH("Layer",Template!$D$2:$V$2,0),FALSE),"NA")</f>
        <v>N3</v>
      </c>
      <c r="AB175" s="21">
        <f>VLOOKUP(Template!$M175,Template!$D$3:$F$619,MATCH("InternalGrade",Template!$D$2:$F$2,0),FALSE)-Template!$F175</f>
        <v>0</v>
      </c>
      <c r="AC175" s="17">
        <f>IF(Template!$AB175&lt;=1, 0.8,IF(Template!$AB175=2,0.4,IF(Template!$AB175=3,0.2,IF(Template!$AB175=4,0.1,IF(Template!$AB175&gt;=5,0.05,"erro")))))</f>
        <v>0.8</v>
      </c>
      <c r="AD175" s="17" t="b">
        <f>Template!$D175=Template!$M175</f>
        <v>0</v>
      </c>
      <c r="AE175" s="12" t="s">
        <v>58</v>
      </c>
    </row>
    <row r="176" ht="15.75" customHeight="1">
      <c r="A176" s="7" t="s">
        <v>190</v>
      </c>
      <c r="B176" s="7" t="s">
        <v>209</v>
      </c>
      <c r="C176" s="7" t="s">
        <v>210</v>
      </c>
      <c r="D176" s="13">
        <v>25215.0</v>
      </c>
      <c r="E176" s="7" t="s">
        <v>193</v>
      </c>
      <c r="F176" s="13"/>
      <c r="G176" s="14" t="s">
        <v>63</v>
      </c>
      <c r="H176" s="7" t="s">
        <v>64</v>
      </c>
      <c r="I176" s="7" t="s">
        <v>65</v>
      </c>
      <c r="J176" s="7" t="s">
        <v>70</v>
      </c>
      <c r="K176" s="15">
        <v>45495.0</v>
      </c>
      <c r="L176" s="15">
        <v>37597.0</v>
      </c>
      <c r="M176" s="13">
        <v>24347.0</v>
      </c>
      <c r="N176" s="7"/>
      <c r="O176" s="7"/>
      <c r="P176" s="7">
        <v>13.33</v>
      </c>
      <c r="Q176" s="7"/>
      <c r="R176" s="20"/>
      <c r="S176" s="7"/>
      <c r="T176" s="20"/>
      <c r="U176" s="16">
        <f>SUM(Template!$N176:$O176)*Template!$P176+Template!$Q176</f>
        <v>0</v>
      </c>
      <c r="V176" s="17" t="str">
        <f>IF(Template!$M176="CONSELHO","N",IF(Template!$AA176="N","N1",IF(Template!$AA176="N1","N2",IF(Template!$AA176="N2","N3",IF(Template!$AA176="N3","N4",IF(Template!$AA176="N4","N5",IF(Template!$AA176="N5","N6",IF(Template!$AA176="N6","N7",IF(Template!$AA176="N7","N8",IF(Template!$AA176="N8","N9",IF(Template!$AA176="N9","N10","NA")))))))))))</f>
        <v>N4</v>
      </c>
      <c r="W176" s="17">
        <f>COUNTIF(Template!$M$3:$M$619,Template!$D176)</f>
        <v>0</v>
      </c>
      <c r="X176" s="17" t="str">
        <f>IF(Template!$F176="","",SUMIF(Template!$M$3:$M$619,Template!$D176,Template!$AC$3:$AC$619))</f>
        <v/>
      </c>
      <c r="Y176" s="17" t="str">
        <f>IFERROR(VLOOKUP(Template!$M176,Template!$D$3:$G$619,MATCH("EmployeeJobTitle",Template!$D$2:$G$2,0),FALSE),"NA")</f>
        <v>GERENTE DE LOJA JR</v>
      </c>
      <c r="Z176" s="17" t="str">
        <f>IFERROR(VLOOKUP(Template!$M176,Template!$D$3:$G$619,MATCH("EmployeeGroup",Template!$D$2:$G$2,0),FALSE),"NA")</f>
        <v>GERENTE</v>
      </c>
      <c r="AA176" s="17" t="str">
        <f>IFERROR(VLOOKUP(Template!$M176,Template!$D$3:$V$619,MATCH("Layer",Template!$D$2:$V$2,0),FALSE),"NA")</f>
        <v>N3</v>
      </c>
      <c r="AB176" s="21">
        <f>VLOOKUP(Template!$M176,Template!$D$3:$F$619,MATCH("InternalGrade",Template!$D$2:$F$2,0),FALSE)-Template!$F176</f>
        <v>0</v>
      </c>
      <c r="AC176" s="17">
        <f>IF(Template!$AB176&lt;=1, 0.8,IF(Template!$AB176=2,0.4,IF(Template!$AB176=3,0.2,IF(Template!$AB176=4,0.1,IF(Template!$AB176&gt;=5,0.05,"erro")))))</f>
        <v>0.8</v>
      </c>
      <c r="AD176" s="17" t="b">
        <f>Template!$D176=Template!$M176</f>
        <v>0</v>
      </c>
      <c r="AE176" s="12" t="s">
        <v>58</v>
      </c>
    </row>
    <row r="177" ht="15.75" customHeight="1">
      <c r="A177" s="7" t="s">
        <v>190</v>
      </c>
      <c r="B177" s="7" t="s">
        <v>209</v>
      </c>
      <c r="C177" s="7" t="s">
        <v>210</v>
      </c>
      <c r="D177" s="13">
        <v>24870.0</v>
      </c>
      <c r="E177" s="7" t="s">
        <v>196</v>
      </c>
      <c r="F177" s="13"/>
      <c r="G177" s="14" t="s">
        <v>63</v>
      </c>
      <c r="H177" s="7" t="s">
        <v>64</v>
      </c>
      <c r="I177" s="7" t="s">
        <v>65</v>
      </c>
      <c r="J177" s="7" t="s">
        <v>70</v>
      </c>
      <c r="K177" s="15">
        <v>45334.0</v>
      </c>
      <c r="L177" s="15">
        <v>34317.0</v>
      </c>
      <c r="M177" s="13">
        <v>24347.0</v>
      </c>
      <c r="N177" s="7">
        <v>1893.0</v>
      </c>
      <c r="O177" s="7"/>
      <c r="P177" s="7">
        <v>13.33</v>
      </c>
      <c r="Q177" s="7"/>
      <c r="R177" s="20"/>
      <c r="S177" s="7"/>
      <c r="T177" s="20"/>
      <c r="U177" s="16">
        <f>SUM(Template!$N177:$O177)*Template!$P177+Template!$Q177</f>
        <v>25233.69</v>
      </c>
      <c r="V177" s="17" t="str">
        <f>IF(Template!$M177="CONSELHO","N",IF(Template!$AA177="N","N1",IF(Template!$AA177="N1","N2",IF(Template!$AA177="N2","N3",IF(Template!$AA177="N3","N4",IF(Template!$AA177="N4","N5",IF(Template!$AA177="N5","N6",IF(Template!$AA177="N6","N7",IF(Template!$AA177="N7","N8",IF(Template!$AA177="N8","N9",IF(Template!$AA177="N9","N10","NA")))))))))))</f>
        <v>N4</v>
      </c>
      <c r="W177" s="17">
        <f>COUNTIF(Template!$M$3:$M$619,Template!$D177)</f>
        <v>0</v>
      </c>
      <c r="X177" s="17" t="str">
        <f>IF(Template!$F177="","",SUMIF(Template!$M$3:$M$619,Template!$D177,Template!$AC$3:$AC$619))</f>
        <v/>
      </c>
      <c r="Y177" s="17" t="str">
        <f>IFERROR(VLOOKUP(Template!$M177,Template!$D$3:$G$619,MATCH("EmployeeJobTitle",Template!$D$2:$G$2,0),FALSE),"NA")</f>
        <v>GERENTE DE LOJA JR</v>
      </c>
      <c r="Z177" s="17" t="str">
        <f>IFERROR(VLOOKUP(Template!$M177,Template!$D$3:$G$619,MATCH("EmployeeGroup",Template!$D$2:$G$2,0),FALSE),"NA")</f>
        <v>GERENTE</v>
      </c>
      <c r="AA177" s="17" t="str">
        <f>IFERROR(VLOOKUP(Template!$M177,Template!$D$3:$V$619,MATCH("Layer",Template!$D$2:$V$2,0),FALSE),"NA")</f>
        <v>N3</v>
      </c>
      <c r="AB177" s="21">
        <f>VLOOKUP(Template!$M177,Template!$D$3:$F$619,MATCH("InternalGrade",Template!$D$2:$F$2,0),FALSE)-Template!$F177</f>
        <v>0</v>
      </c>
      <c r="AC177" s="17">
        <f>IF(Template!$AB177&lt;=1, 0.8,IF(Template!$AB177=2,0.4,IF(Template!$AB177=3,0.2,IF(Template!$AB177=4,0.1,IF(Template!$AB177&gt;=5,0.05,"erro")))))</f>
        <v>0.8</v>
      </c>
      <c r="AD177" s="17" t="b">
        <f>Template!$D177=Template!$M177</f>
        <v>0</v>
      </c>
      <c r="AE177" s="12" t="s">
        <v>58</v>
      </c>
    </row>
    <row r="178" ht="15.75" customHeight="1">
      <c r="A178" s="7" t="s">
        <v>190</v>
      </c>
      <c r="B178" s="7" t="s">
        <v>209</v>
      </c>
      <c r="C178" s="7" t="s">
        <v>210</v>
      </c>
      <c r="D178" s="13">
        <v>24347.0</v>
      </c>
      <c r="E178" s="7" t="s">
        <v>211</v>
      </c>
      <c r="F178" s="13"/>
      <c r="G178" s="22" t="s">
        <v>200</v>
      </c>
      <c r="H178" s="7" t="s">
        <v>64</v>
      </c>
      <c r="I178" s="7" t="s">
        <v>65</v>
      </c>
      <c r="J178" s="7" t="s">
        <v>70</v>
      </c>
      <c r="K178" s="15">
        <v>45208.0</v>
      </c>
      <c r="L178" s="15">
        <v>30505.0</v>
      </c>
      <c r="M178" s="13">
        <v>18766.0</v>
      </c>
      <c r="N178" s="7">
        <v>4500.0</v>
      </c>
      <c r="O178" s="7"/>
      <c r="P178" s="7">
        <v>13.33</v>
      </c>
      <c r="Q178" s="7"/>
      <c r="R178" s="20"/>
      <c r="S178" s="7"/>
      <c r="T178" s="20"/>
      <c r="U178" s="16">
        <f>SUM(Template!$N178:$O178)*Template!$P178+Template!$Q178</f>
        <v>59985</v>
      </c>
      <c r="V178" s="17" t="str">
        <f>IF(Template!$M178="CONSELHO","N",IF(Template!$AA178="N","N1",IF(Template!$AA178="N1","N2",IF(Template!$AA178="N2","N3",IF(Template!$AA178="N3","N4",IF(Template!$AA178="N4","N5",IF(Template!$AA178="N5","N6",IF(Template!$AA178="N6","N7",IF(Template!$AA178="N7","N8",IF(Template!$AA178="N8","N9",IF(Template!$AA178="N9","N10","NA")))))))))))</f>
        <v>N3</v>
      </c>
      <c r="W178" s="17">
        <f>COUNTIF(Template!$M$3:$M$619,Template!$D178)</f>
        <v>6</v>
      </c>
      <c r="X178" s="17" t="str">
        <f>IF(Template!$F178="","",SUMIF(Template!$M$3:$M$619,Template!$D178,Template!$AC$3:$AC$619))</f>
        <v/>
      </c>
      <c r="Y178" s="17" t="str">
        <f>IFERROR(VLOOKUP(Template!$M178,Template!$D$3:$G$619,MATCH("EmployeeJobTitle",Template!$D$2:$G$2,0),FALSE),"NA")</f>
        <v>GERENTE COMERCIAL</v>
      </c>
      <c r="Z178" s="17" t="str">
        <f>IFERROR(VLOOKUP(Template!$M178,Template!$D$3:$G$619,MATCH("EmployeeGroup",Template!$D$2:$G$2,0),FALSE),"NA")</f>
        <v>Coordenador</v>
      </c>
      <c r="AA178" s="17" t="str">
        <f>IFERROR(VLOOKUP(Template!$M178,Template!$D$3:$V$619,MATCH("Layer",Template!$D$2:$V$2,0),FALSE),"NA")</f>
        <v>N2</v>
      </c>
      <c r="AB178" s="21">
        <f>VLOOKUP(Template!$M178,Template!$D$3:$F$619,MATCH("InternalGrade",Template!$D$2:$F$2,0),FALSE)-Template!$F178</f>
        <v>19</v>
      </c>
      <c r="AC178" s="17">
        <f>IF(Template!$AB178&lt;=1, 0.8,IF(Template!$AB178=2,0.4,IF(Template!$AB178=3,0.2,IF(Template!$AB178=4,0.1,IF(Template!$AB178&gt;=5,0.05,"erro")))))</f>
        <v>0.05</v>
      </c>
      <c r="AD178" s="17" t="b">
        <f>Template!$D178=Template!$M178</f>
        <v>0</v>
      </c>
      <c r="AE178" s="12" t="s">
        <v>58</v>
      </c>
    </row>
    <row r="179" ht="15.75" customHeight="1">
      <c r="A179" s="7" t="s">
        <v>190</v>
      </c>
      <c r="B179" s="7" t="s">
        <v>209</v>
      </c>
      <c r="C179" s="7" t="s">
        <v>210</v>
      </c>
      <c r="D179" s="13">
        <v>25380.0</v>
      </c>
      <c r="E179" s="7" t="s">
        <v>193</v>
      </c>
      <c r="F179" s="13"/>
      <c r="G179" s="14" t="s">
        <v>63</v>
      </c>
      <c r="H179" s="7" t="s">
        <v>64</v>
      </c>
      <c r="I179" s="7" t="s">
        <v>65</v>
      </c>
      <c r="J179" s="7" t="s">
        <v>70</v>
      </c>
      <c r="K179" s="15">
        <v>45551.0</v>
      </c>
      <c r="L179" s="15">
        <v>34766.0</v>
      </c>
      <c r="M179" s="13">
        <v>24347.0</v>
      </c>
      <c r="N179" s="7"/>
      <c r="O179" s="7"/>
      <c r="P179" s="7">
        <v>13.33</v>
      </c>
      <c r="Q179" s="7"/>
      <c r="R179" s="20"/>
      <c r="S179" s="7"/>
      <c r="T179" s="20"/>
      <c r="U179" s="16">
        <f>SUM(Template!$N179:$O179)*Template!$P179+Template!$Q179</f>
        <v>0</v>
      </c>
      <c r="V179" s="17" t="str">
        <f>IF(Template!$M179="CONSELHO","N",IF(Template!$AA179="N","N1",IF(Template!$AA179="N1","N2",IF(Template!$AA179="N2","N3",IF(Template!$AA179="N3","N4",IF(Template!$AA179="N4","N5",IF(Template!$AA179="N5","N6",IF(Template!$AA179="N6","N7",IF(Template!$AA179="N7","N8",IF(Template!$AA179="N8","N9",IF(Template!$AA179="N9","N10","NA")))))))))))</f>
        <v>N4</v>
      </c>
      <c r="W179" s="17">
        <f>COUNTIF(Template!$M$3:$M$619,Template!$D179)</f>
        <v>0</v>
      </c>
      <c r="X179" s="17" t="str">
        <f>IF(Template!$F179="","",SUMIF(Template!$M$3:$M$619,Template!$D179,Template!$AC$3:$AC$619))</f>
        <v/>
      </c>
      <c r="Y179" s="17" t="str">
        <f>IFERROR(VLOOKUP(Template!$M179,Template!$D$3:$G$619,MATCH("EmployeeJobTitle",Template!$D$2:$G$2,0),FALSE),"NA")</f>
        <v>GERENTE DE LOJA JR</v>
      </c>
      <c r="Z179" s="17" t="str">
        <f>IFERROR(VLOOKUP(Template!$M179,Template!$D$3:$G$619,MATCH("EmployeeGroup",Template!$D$2:$G$2,0),FALSE),"NA")</f>
        <v>GERENTE</v>
      </c>
      <c r="AA179" s="17" t="str">
        <f>IFERROR(VLOOKUP(Template!$M179,Template!$D$3:$V$619,MATCH("Layer",Template!$D$2:$V$2,0),FALSE),"NA")</f>
        <v>N3</v>
      </c>
      <c r="AB179" s="21">
        <f>VLOOKUP(Template!$M179,Template!$D$3:$F$619,MATCH("InternalGrade",Template!$D$2:$F$2,0),FALSE)-Template!$F179</f>
        <v>0</v>
      </c>
      <c r="AC179" s="17">
        <f>IF(Template!$AB179&lt;=1, 0.8,IF(Template!$AB179=2,0.4,IF(Template!$AB179=3,0.2,IF(Template!$AB179=4,0.1,IF(Template!$AB179&gt;=5,0.05,"erro")))))</f>
        <v>0.8</v>
      </c>
      <c r="AD179" s="17" t="b">
        <f>Template!$D179=Template!$M179</f>
        <v>0</v>
      </c>
      <c r="AE179" s="12" t="s">
        <v>58</v>
      </c>
    </row>
    <row r="180" ht="15.75" customHeight="1">
      <c r="A180" s="7" t="s">
        <v>190</v>
      </c>
      <c r="B180" s="7" t="s">
        <v>209</v>
      </c>
      <c r="C180" s="7" t="s">
        <v>210</v>
      </c>
      <c r="D180" s="13">
        <v>25216.0</v>
      </c>
      <c r="E180" s="7" t="s">
        <v>193</v>
      </c>
      <c r="F180" s="13"/>
      <c r="G180" s="14" t="s">
        <v>63</v>
      </c>
      <c r="H180" s="7" t="s">
        <v>64</v>
      </c>
      <c r="I180" s="7" t="s">
        <v>65</v>
      </c>
      <c r="J180" s="7" t="s">
        <v>70</v>
      </c>
      <c r="K180" s="15">
        <v>45495.0</v>
      </c>
      <c r="L180" s="15">
        <v>35037.0</v>
      </c>
      <c r="M180" s="13">
        <v>24347.0</v>
      </c>
      <c r="N180" s="7"/>
      <c r="O180" s="7"/>
      <c r="P180" s="7">
        <v>13.33</v>
      </c>
      <c r="Q180" s="7"/>
      <c r="R180" s="20"/>
      <c r="S180" s="7"/>
      <c r="T180" s="20"/>
      <c r="U180" s="16">
        <f>SUM(Template!$N180:$O180)*Template!$P180+Template!$Q180</f>
        <v>0</v>
      </c>
      <c r="V180" s="17" t="str">
        <f>IF(Template!$M180="CONSELHO","N",IF(Template!$AA180="N","N1",IF(Template!$AA180="N1","N2",IF(Template!$AA180="N2","N3",IF(Template!$AA180="N3","N4",IF(Template!$AA180="N4","N5",IF(Template!$AA180="N5","N6",IF(Template!$AA180="N6","N7",IF(Template!$AA180="N7","N8",IF(Template!$AA180="N8","N9",IF(Template!$AA180="N9","N10","NA")))))))))))</f>
        <v>N4</v>
      </c>
      <c r="W180" s="17">
        <f>COUNTIF(Template!$M$3:$M$619,Template!$D180)</f>
        <v>0</v>
      </c>
      <c r="X180" s="17" t="str">
        <f>IF(Template!$F180="","",SUMIF(Template!$M$3:$M$619,Template!$D180,Template!$AC$3:$AC$619))</f>
        <v/>
      </c>
      <c r="Y180" s="17" t="str">
        <f>IFERROR(VLOOKUP(Template!$M180,Template!$D$3:$G$619,MATCH("EmployeeJobTitle",Template!$D$2:$G$2,0),FALSE),"NA")</f>
        <v>GERENTE DE LOJA JR</v>
      </c>
      <c r="Z180" s="17" t="str">
        <f>IFERROR(VLOOKUP(Template!$M180,Template!$D$3:$G$619,MATCH("EmployeeGroup",Template!$D$2:$G$2,0),FALSE),"NA")</f>
        <v>GERENTE</v>
      </c>
      <c r="AA180" s="17" t="str">
        <f>IFERROR(VLOOKUP(Template!$M180,Template!$D$3:$V$619,MATCH("Layer",Template!$D$2:$V$2,0),FALSE),"NA")</f>
        <v>N3</v>
      </c>
      <c r="AB180" s="21">
        <f>VLOOKUP(Template!$M180,Template!$D$3:$F$619,MATCH("InternalGrade",Template!$D$2:$F$2,0),FALSE)-Template!$F180</f>
        <v>0</v>
      </c>
      <c r="AC180" s="17">
        <f>IF(Template!$AB180&lt;=1, 0.8,IF(Template!$AB180=2,0.4,IF(Template!$AB180=3,0.2,IF(Template!$AB180=4,0.1,IF(Template!$AB180&gt;=5,0.05,"erro")))))</f>
        <v>0.8</v>
      </c>
      <c r="AD180" s="17" t="b">
        <f>Template!$D180=Template!$M180</f>
        <v>0</v>
      </c>
      <c r="AE180" s="12" t="s">
        <v>58</v>
      </c>
    </row>
    <row r="181" ht="15.75" customHeight="1">
      <c r="A181" s="7" t="s">
        <v>190</v>
      </c>
      <c r="B181" s="7" t="s">
        <v>209</v>
      </c>
      <c r="C181" s="7" t="s">
        <v>210</v>
      </c>
      <c r="D181" s="13">
        <v>24005.0</v>
      </c>
      <c r="E181" s="7" t="s">
        <v>193</v>
      </c>
      <c r="F181" s="13"/>
      <c r="G181" s="14" t="s">
        <v>63</v>
      </c>
      <c r="H181" s="7" t="s">
        <v>64</v>
      </c>
      <c r="I181" s="7" t="s">
        <v>65</v>
      </c>
      <c r="J181" s="7" t="s">
        <v>70</v>
      </c>
      <c r="K181" s="15">
        <v>45054.0</v>
      </c>
      <c r="L181" s="15">
        <v>34300.0</v>
      </c>
      <c r="M181" s="13">
        <v>24347.0</v>
      </c>
      <c r="N181" s="7"/>
      <c r="O181" s="7"/>
      <c r="P181" s="7">
        <v>13.33</v>
      </c>
      <c r="Q181" s="7"/>
      <c r="R181" s="20"/>
      <c r="S181" s="7"/>
      <c r="T181" s="20"/>
      <c r="U181" s="16">
        <f>SUM(Template!$N181:$O181)*Template!$P181+Template!$Q181</f>
        <v>0</v>
      </c>
      <c r="V181" s="17" t="str">
        <f>IF(Template!$M181="CONSELHO","N",IF(Template!$AA181="N","N1",IF(Template!$AA181="N1","N2",IF(Template!$AA181="N2","N3",IF(Template!$AA181="N3","N4",IF(Template!$AA181="N4","N5",IF(Template!$AA181="N5","N6",IF(Template!$AA181="N6","N7",IF(Template!$AA181="N7","N8",IF(Template!$AA181="N8","N9",IF(Template!$AA181="N9","N10","NA")))))))))))</f>
        <v>N4</v>
      </c>
      <c r="W181" s="17">
        <f>COUNTIF(Template!$M$3:$M$619,Template!$D181)</f>
        <v>0</v>
      </c>
      <c r="X181" s="17" t="str">
        <f>IF(Template!$F181="","",SUMIF(Template!$M$3:$M$619,Template!$D181,Template!$AC$3:$AC$619))</f>
        <v/>
      </c>
      <c r="Y181" s="17" t="str">
        <f>IFERROR(VLOOKUP(Template!$M181,Template!$D$3:$G$619,MATCH("EmployeeJobTitle",Template!$D$2:$G$2,0),FALSE),"NA")</f>
        <v>GERENTE DE LOJA JR</v>
      </c>
      <c r="Z181" s="17" t="str">
        <f>IFERROR(VLOOKUP(Template!$M181,Template!$D$3:$G$619,MATCH("EmployeeGroup",Template!$D$2:$G$2,0),FALSE),"NA")</f>
        <v>GERENTE</v>
      </c>
      <c r="AA181" s="17" t="str">
        <f>IFERROR(VLOOKUP(Template!$M181,Template!$D$3:$V$619,MATCH("Layer",Template!$D$2:$V$2,0),FALSE),"NA")</f>
        <v>N3</v>
      </c>
      <c r="AB181" s="21">
        <f>VLOOKUP(Template!$M181,Template!$D$3:$F$619,MATCH("InternalGrade",Template!$D$2:$F$2,0),FALSE)-Template!$F181</f>
        <v>0</v>
      </c>
      <c r="AC181" s="17">
        <f>IF(Template!$AB181&lt;=1, 0.8,IF(Template!$AB181=2,0.4,IF(Template!$AB181=3,0.2,IF(Template!$AB181=4,0.1,IF(Template!$AB181&gt;=5,0.05,"erro")))))</f>
        <v>0.8</v>
      </c>
      <c r="AD181" s="17" t="b">
        <f>Template!$D181=Template!$M181</f>
        <v>0</v>
      </c>
      <c r="AE181" s="12" t="s">
        <v>58</v>
      </c>
    </row>
    <row r="182" ht="15.75" customHeight="1">
      <c r="A182" s="7" t="s">
        <v>190</v>
      </c>
      <c r="B182" s="7" t="s">
        <v>209</v>
      </c>
      <c r="C182" s="7" t="s">
        <v>210</v>
      </c>
      <c r="D182" s="13">
        <v>25385.0</v>
      </c>
      <c r="E182" s="7" t="s">
        <v>193</v>
      </c>
      <c r="F182" s="13"/>
      <c r="G182" s="14" t="s">
        <v>63</v>
      </c>
      <c r="H182" s="7" t="s">
        <v>64</v>
      </c>
      <c r="I182" s="7" t="s">
        <v>65</v>
      </c>
      <c r="J182" s="7" t="s">
        <v>70</v>
      </c>
      <c r="K182" s="15">
        <v>45551.0</v>
      </c>
      <c r="L182" s="15">
        <v>38115.0</v>
      </c>
      <c r="M182" s="13">
        <v>24347.0</v>
      </c>
      <c r="N182" s="7"/>
      <c r="O182" s="7"/>
      <c r="P182" s="7">
        <v>13.33</v>
      </c>
      <c r="Q182" s="7"/>
      <c r="R182" s="20"/>
      <c r="S182" s="7"/>
      <c r="T182" s="20"/>
      <c r="U182" s="16">
        <f>SUM(Template!$N182:$O182)*Template!$P182+Template!$Q182</f>
        <v>0</v>
      </c>
      <c r="V182" s="17" t="str">
        <f>IF(Template!$M182="CONSELHO","N",IF(Template!$AA182="N","N1",IF(Template!$AA182="N1","N2",IF(Template!$AA182="N2","N3",IF(Template!$AA182="N3","N4",IF(Template!$AA182="N4","N5",IF(Template!$AA182="N5","N6",IF(Template!$AA182="N6","N7",IF(Template!$AA182="N7","N8",IF(Template!$AA182="N8","N9",IF(Template!$AA182="N9","N10","NA")))))))))))</f>
        <v>N4</v>
      </c>
      <c r="W182" s="17">
        <f>COUNTIF(Template!$M$3:$M$619,Template!$D182)</f>
        <v>0</v>
      </c>
      <c r="X182" s="17" t="str">
        <f>IF(Template!$F182="","",SUMIF(Template!$M$3:$M$619,Template!$D182,Template!$AC$3:$AC$619))</f>
        <v/>
      </c>
      <c r="Y182" s="17" t="str">
        <f>IFERROR(VLOOKUP(Template!$M182,Template!$D$3:$G$619,MATCH("EmployeeJobTitle",Template!$D$2:$G$2,0),FALSE),"NA")</f>
        <v>GERENTE DE LOJA JR</v>
      </c>
      <c r="Z182" s="17" t="str">
        <f>IFERROR(VLOOKUP(Template!$M182,Template!$D$3:$G$619,MATCH("EmployeeGroup",Template!$D$2:$G$2,0),FALSE),"NA")</f>
        <v>GERENTE</v>
      </c>
      <c r="AA182" s="17" t="str">
        <f>IFERROR(VLOOKUP(Template!$M182,Template!$D$3:$V$619,MATCH("Layer",Template!$D$2:$V$2,0),FALSE),"NA")</f>
        <v>N3</v>
      </c>
      <c r="AB182" s="21">
        <f>VLOOKUP(Template!$M182,Template!$D$3:$F$619,MATCH("InternalGrade",Template!$D$2:$F$2,0),FALSE)-Template!$F182</f>
        <v>0</v>
      </c>
      <c r="AC182" s="17">
        <f>IF(Template!$AB182&lt;=1, 0.8,IF(Template!$AB182=2,0.4,IF(Template!$AB182=3,0.2,IF(Template!$AB182=4,0.1,IF(Template!$AB182&gt;=5,0.05,"erro")))))</f>
        <v>0.8</v>
      </c>
      <c r="AD182" s="17" t="b">
        <f>Template!$D182=Template!$M182</f>
        <v>0</v>
      </c>
      <c r="AE182" s="12" t="s">
        <v>58</v>
      </c>
    </row>
    <row r="183" ht="15.75" customHeight="1">
      <c r="A183" s="7" t="s">
        <v>190</v>
      </c>
      <c r="B183" s="7" t="s">
        <v>209</v>
      </c>
      <c r="C183" s="7" t="s">
        <v>212</v>
      </c>
      <c r="D183" s="13">
        <v>17828.0</v>
      </c>
      <c r="E183" s="7" t="s">
        <v>197</v>
      </c>
      <c r="F183" s="13"/>
      <c r="G183" s="22" t="s">
        <v>87</v>
      </c>
      <c r="H183" s="7" t="s">
        <v>64</v>
      </c>
      <c r="I183" s="7" t="s">
        <v>65</v>
      </c>
      <c r="J183" s="7" t="s">
        <v>70</v>
      </c>
      <c r="K183" s="15">
        <v>43696.0</v>
      </c>
      <c r="L183" s="15">
        <v>34528.0</v>
      </c>
      <c r="M183" s="13">
        <v>24024.0</v>
      </c>
      <c r="N183" s="7"/>
      <c r="O183" s="7"/>
      <c r="P183" s="7">
        <v>13.33</v>
      </c>
      <c r="Q183" s="7"/>
      <c r="R183" s="20"/>
      <c r="S183" s="7"/>
      <c r="T183" s="20"/>
      <c r="U183" s="16">
        <f>SUM(Template!$N183:$O183)*Template!$P183+Template!$Q183</f>
        <v>0</v>
      </c>
      <c r="V183" s="17" t="str">
        <f>IF(Template!$M183="CONSELHO","N",IF(Template!$AA183="N","N1",IF(Template!$AA183="N1","N2",IF(Template!$AA183="N2","N3",IF(Template!$AA183="N3","N4",IF(Template!$AA183="N4","N5",IF(Template!$AA183="N5","N6",IF(Template!$AA183="N6","N7",IF(Template!$AA183="N7","N8",IF(Template!$AA183="N8","N9",IF(Template!$AA183="N9","N10","NA")))))))))))</f>
        <v>N4</v>
      </c>
      <c r="W183" s="17">
        <f>COUNTIF(Template!$M$3:$M$619,Template!$D183)</f>
        <v>0</v>
      </c>
      <c r="X183" s="17" t="str">
        <f>IF(Template!$F183="","",SUMIF(Template!$M$3:$M$619,Template!$D183,Template!$AC$3:$AC$619))</f>
        <v/>
      </c>
      <c r="Y183" s="17" t="str">
        <f>IFERROR(VLOOKUP(Template!$M183,Template!$D$3:$G$619,MATCH("EmployeeJobTitle",Template!$D$2:$G$2,0),FALSE),"NA")</f>
        <v>GERENTE DE LOJA</v>
      </c>
      <c r="Z183" s="17" t="str">
        <f>IFERROR(VLOOKUP(Template!$M183,Template!$D$3:$G$619,MATCH("EmployeeGroup",Template!$D$2:$G$2,0),FALSE),"NA")</f>
        <v>GERENTE</v>
      </c>
      <c r="AA183" s="17" t="str">
        <f>IFERROR(VLOOKUP(Template!$M183,Template!$D$3:$V$619,MATCH("Layer",Template!$D$2:$V$2,0),FALSE),"NA")</f>
        <v>N3</v>
      </c>
      <c r="AB183" s="21">
        <f>VLOOKUP(Template!$M183,Template!$D$3:$F$619,MATCH("InternalGrade",Template!$D$2:$F$2,0),FALSE)-Template!$F183</f>
        <v>0</v>
      </c>
      <c r="AC183" s="17">
        <f>IF(Template!$AB183&lt;=1, 0.8,IF(Template!$AB183=2,0.4,IF(Template!$AB183=3,0.2,IF(Template!$AB183=4,0.1,IF(Template!$AB183&gt;=5,0.05,"erro")))))</f>
        <v>0.8</v>
      </c>
      <c r="AD183" s="17" t="b">
        <f>Template!$D183=Template!$M183</f>
        <v>0</v>
      </c>
      <c r="AE183" s="12" t="s">
        <v>58</v>
      </c>
    </row>
    <row r="184" ht="15.75" customHeight="1">
      <c r="A184" s="7" t="s">
        <v>190</v>
      </c>
      <c r="B184" s="7" t="s">
        <v>209</v>
      </c>
      <c r="C184" s="7" t="s">
        <v>212</v>
      </c>
      <c r="D184" s="13">
        <v>24024.0</v>
      </c>
      <c r="E184" s="7" t="s">
        <v>199</v>
      </c>
      <c r="F184" s="13"/>
      <c r="G184" s="22" t="s">
        <v>200</v>
      </c>
      <c r="H184" s="7" t="s">
        <v>64</v>
      </c>
      <c r="I184" s="7" t="s">
        <v>65</v>
      </c>
      <c r="J184" s="7" t="s">
        <v>70</v>
      </c>
      <c r="K184" s="15">
        <v>45058.0</v>
      </c>
      <c r="L184" s="15">
        <v>31425.0</v>
      </c>
      <c r="M184" s="13">
        <v>18766.0</v>
      </c>
      <c r="N184" s="7">
        <v>5124.0</v>
      </c>
      <c r="O184" s="7"/>
      <c r="P184" s="7">
        <v>13.33</v>
      </c>
      <c r="Q184" s="7"/>
      <c r="R184" s="20"/>
      <c r="S184" s="7"/>
      <c r="T184" s="20"/>
      <c r="U184" s="16">
        <f>SUM(Template!$N184:$O184)*Template!$P184+Template!$Q184</f>
        <v>68302.92</v>
      </c>
      <c r="V184" s="17" t="str">
        <f>IF(Template!$M184="CONSELHO","N",IF(Template!$AA184="N","N1",IF(Template!$AA184="N1","N2",IF(Template!$AA184="N2","N3",IF(Template!$AA184="N3","N4",IF(Template!$AA184="N4","N5",IF(Template!$AA184="N5","N6",IF(Template!$AA184="N6","N7",IF(Template!$AA184="N7","N8",IF(Template!$AA184="N8","N9",IF(Template!$AA184="N9","N10","NA")))))))))))</f>
        <v>N3</v>
      </c>
      <c r="W184" s="17">
        <f>COUNTIF(Template!$M$3:$M$619,Template!$D184)</f>
        <v>14</v>
      </c>
      <c r="X184" s="17" t="str">
        <f>IF(Template!$F184="","",SUMIF(Template!$M$3:$M$619,Template!$D184,Template!$AC$3:$AC$619))</f>
        <v/>
      </c>
      <c r="Y184" s="17" t="str">
        <f>IFERROR(VLOOKUP(Template!$M184,Template!$D$3:$G$619,MATCH("EmployeeJobTitle",Template!$D$2:$G$2,0),FALSE),"NA")</f>
        <v>GERENTE COMERCIAL</v>
      </c>
      <c r="Z184" s="17" t="str">
        <f>IFERROR(VLOOKUP(Template!$M184,Template!$D$3:$G$619,MATCH("EmployeeGroup",Template!$D$2:$G$2,0),FALSE),"NA")</f>
        <v>Coordenador</v>
      </c>
      <c r="AA184" s="17" t="str">
        <f>IFERROR(VLOOKUP(Template!$M184,Template!$D$3:$V$619,MATCH("Layer",Template!$D$2:$V$2,0),FALSE),"NA")</f>
        <v>N2</v>
      </c>
      <c r="AB184" s="21">
        <f>VLOOKUP(Template!$M184,Template!$D$3:$F$619,MATCH("InternalGrade",Template!$D$2:$F$2,0),FALSE)-Template!$F184</f>
        <v>19</v>
      </c>
      <c r="AC184" s="17">
        <f>IF(Template!$AB184&lt;=1, 0.8,IF(Template!$AB184=2,0.4,IF(Template!$AB184=3,0.2,IF(Template!$AB184=4,0.1,IF(Template!$AB184&gt;=5,0.05,"erro")))))</f>
        <v>0.05</v>
      </c>
      <c r="AD184" s="17" t="b">
        <f>Template!$D184=Template!$M184</f>
        <v>0</v>
      </c>
      <c r="AE184" s="12" t="s">
        <v>58</v>
      </c>
    </row>
    <row r="185" ht="15.75" customHeight="1">
      <c r="A185" s="7" t="s">
        <v>190</v>
      </c>
      <c r="B185" s="7" t="s">
        <v>209</v>
      </c>
      <c r="C185" s="7" t="s">
        <v>212</v>
      </c>
      <c r="D185" s="13">
        <v>19585.0</v>
      </c>
      <c r="E185" s="7" t="s">
        <v>204</v>
      </c>
      <c r="F185" s="13"/>
      <c r="G185" s="14" t="s">
        <v>63</v>
      </c>
      <c r="H185" s="7" t="s">
        <v>64</v>
      </c>
      <c r="I185" s="7" t="s">
        <v>65</v>
      </c>
      <c r="J185" s="7" t="s">
        <v>70</v>
      </c>
      <c r="K185" s="15">
        <v>44348.0</v>
      </c>
      <c r="L185" s="15">
        <v>35453.0</v>
      </c>
      <c r="M185" s="13">
        <v>24024.0</v>
      </c>
      <c r="N185" s="7"/>
      <c r="O185" s="7"/>
      <c r="P185" s="7">
        <v>13.33</v>
      </c>
      <c r="Q185" s="7"/>
      <c r="R185" s="20"/>
      <c r="S185" s="7"/>
      <c r="T185" s="20"/>
      <c r="U185" s="16">
        <f>SUM(Template!$N185:$O185)*Template!$P185+Template!$Q185</f>
        <v>0</v>
      </c>
      <c r="V185" s="17" t="str">
        <f>IF(Template!$M185="CONSELHO","N",IF(Template!$AA185="N","N1",IF(Template!$AA185="N1","N2",IF(Template!$AA185="N2","N3",IF(Template!$AA185="N3","N4",IF(Template!$AA185="N4","N5",IF(Template!$AA185="N5","N6",IF(Template!$AA185="N6","N7",IF(Template!$AA185="N7","N8",IF(Template!$AA185="N8","N9",IF(Template!$AA185="N9","N10","NA")))))))))))</f>
        <v>N4</v>
      </c>
      <c r="W185" s="17">
        <f>COUNTIF(Template!$M$3:$M$619,Template!$D185)</f>
        <v>0</v>
      </c>
      <c r="X185" s="17" t="str">
        <f>IF(Template!$F185="","",SUMIF(Template!$M$3:$M$619,Template!$D185,Template!$AC$3:$AC$619))</f>
        <v/>
      </c>
      <c r="Y185" s="17" t="str">
        <f>IFERROR(VLOOKUP(Template!$M185,Template!$D$3:$G$619,MATCH("EmployeeJobTitle",Template!$D$2:$G$2,0),FALSE),"NA")</f>
        <v>GERENTE DE LOJA</v>
      </c>
      <c r="Z185" s="17" t="str">
        <f>IFERROR(VLOOKUP(Template!$M185,Template!$D$3:$G$619,MATCH("EmployeeGroup",Template!$D$2:$G$2,0),FALSE),"NA")</f>
        <v>GERENTE</v>
      </c>
      <c r="AA185" s="17" t="str">
        <f>IFERROR(VLOOKUP(Template!$M185,Template!$D$3:$V$619,MATCH("Layer",Template!$D$2:$V$2,0),FALSE),"NA")</f>
        <v>N3</v>
      </c>
      <c r="AB185" s="21">
        <f>VLOOKUP(Template!$M185,Template!$D$3:$F$619,MATCH("InternalGrade",Template!$D$2:$F$2,0),FALSE)-Template!$F185</f>
        <v>0</v>
      </c>
      <c r="AC185" s="17">
        <f>IF(Template!$AB185&lt;=1, 0.8,IF(Template!$AB185=2,0.4,IF(Template!$AB185=3,0.2,IF(Template!$AB185=4,0.1,IF(Template!$AB185&gt;=5,0.05,"erro")))))</f>
        <v>0.8</v>
      </c>
      <c r="AD185" s="17" t="b">
        <f>Template!$D185=Template!$M185</f>
        <v>0</v>
      </c>
      <c r="AE185" s="12" t="s">
        <v>58</v>
      </c>
    </row>
    <row r="186" ht="15.75" customHeight="1">
      <c r="A186" s="7" t="s">
        <v>190</v>
      </c>
      <c r="B186" s="7" t="s">
        <v>209</v>
      </c>
      <c r="C186" s="7" t="s">
        <v>212</v>
      </c>
      <c r="D186" s="13">
        <v>21625.0</v>
      </c>
      <c r="E186" s="7" t="s">
        <v>193</v>
      </c>
      <c r="F186" s="13"/>
      <c r="G186" s="14" t="s">
        <v>63</v>
      </c>
      <c r="H186" s="7" t="s">
        <v>64</v>
      </c>
      <c r="I186" s="7" t="s">
        <v>65</v>
      </c>
      <c r="J186" s="7" t="s">
        <v>70</v>
      </c>
      <c r="K186" s="15">
        <v>44805.0</v>
      </c>
      <c r="L186" s="15">
        <v>31780.0</v>
      </c>
      <c r="M186" s="13">
        <v>24024.0</v>
      </c>
      <c r="N186" s="7"/>
      <c r="O186" s="7"/>
      <c r="P186" s="7">
        <v>13.33</v>
      </c>
      <c r="Q186" s="7"/>
      <c r="R186" s="20"/>
      <c r="S186" s="7"/>
      <c r="T186" s="20"/>
      <c r="U186" s="16">
        <f>SUM(Template!$N186:$O186)*Template!$P186+Template!$Q186</f>
        <v>0</v>
      </c>
      <c r="V186" s="17" t="str">
        <f>IF(Template!$M186="CONSELHO","N",IF(Template!$AA186="N","N1",IF(Template!$AA186="N1","N2",IF(Template!$AA186="N2","N3",IF(Template!$AA186="N3","N4",IF(Template!$AA186="N4","N5",IF(Template!$AA186="N5","N6",IF(Template!$AA186="N6","N7",IF(Template!$AA186="N7","N8",IF(Template!$AA186="N8","N9",IF(Template!$AA186="N9","N10","NA")))))))))))</f>
        <v>N4</v>
      </c>
      <c r="W186" s="17">
        <f>COUNTIF(Template!$M$3:$M$619,Template!$D186)</f>
        <v>0</v>
      </c>
      <c r="X186" s="17" t="str">
        <f>IF(Template!$F186="","",SUMIF(Template!$M$3:$M$619,Template!$D186,Template!$AC$3:$AC$619))</f>
        <v/>
      </c>
      <c r="Y186" s="17" t="str">
        <f>IFERROR(VLOOKUP(Template!$M186,Template!$D$3:$G$619,MATCH("EmployeeJobTitle",Template!$D$2:$G$2,0),FALSE),"NA")</f>
        <v>GERENTE DE LOJA</v>
      </c>
      <c r="Z186" s="17" t="str">
        <f>IFERROR(VLOOKUP(Template!$M186,Template!$D$3:$G$619,MATCH("EmployeeGroup",Template!$D$2:$G$2,0),FALSE),"NA")</f>
        <v>GERENTE</v>
      </c>
      <c r="AA186" s="17" t="str">
        <f>IFERROR(VLOOKUP(Template!$M186,Template!$D$3:$V$619,MATCH("Layer",Template!$D$2:$V$2,0),FALSE),"NA")</f>
        <v>N3</v>
      </c>
      <c r="AB186" s="21">
        <f>VLOOKUP(Template!$M186,Template!$D$3:$F$619,MATCH("InternalGrade",Template!$D$2:$F$2,0),FALSE)-Template!$F186</f>
        <v>0</v>
      </c>
      <c r="AC186" s="17">
        <f>IF(Template!$AB186&lt;=1, 0.8,IF(Template!$AB186=2,0.4,IF(Template!$AB186=3,0.2,IF(Template!$AB186=4,0.1,IF(Template!$AB186&gt;=5,0.05,"erro")))))</f>
        <v>0.8</v>
      </c>
      <c r="AD186" s="17" t="b">
        <f>Template!$D186=Template!$M186</f>
        <v>0</v>
      </c>
      <c r="AE186" s="12" t="s">
        <v>58</v>
      </c>
    </row>
    <row r="187" ht="15.75" customHeight="1">
      <c r="A187" s="7" t="s">
        <v>190</v>
      </c>
      <c r="B187" s="7" t="s">
        <v>209</v>
      </c>
      <c r="C187" s="7" t="s">
        <v>212</v>
      </c>
      <c r="D187" s="13">
        <v>25142.0</v>
      </c>
      <c r="E187" s="7" t="s">
        <v>193</v>
      </c>
      <c r="F187" s="13"/>
      <c r="G187" s="14" t="s">
        <v>63</v>
      </c>
      <c r="H187" s="7" t="s">
        <v>64</v>
      </c>
      <c r="I187" s="7" t="s">
        <v>65</v>
      </c>
      <c r="J187" s="7" t="s">
        <v>70</v>
      </c>
      <c r="K187" s="15">
        <v>45464.0</v>
      </c>
      <c r="L187" s="15">
        <v>32915.0</v>
      </c>
      <c r="M187" s="13">
        <v>24024.0</v>
      </c>
      <c r="N187" s="7"/>
      <c r="O187" s="7"/>
      <c r="P187" s="7">
        <v>13.33</v>
      </c>
      <c r="Q187" s="7"/>
      <c r="R187" s="20"/>
      <c r="S187" s="7"/>
      <c r="T187" s="20"/>
      <c r="U187" s="16">
        <f>SUM(Template!$N187:$O187)*Template!$P187+Template!$Q187</f>
        <v>0</v>
      </c>
      <c r="V187" s="17" t="str">
        <f>IF(Template!$M187="CONSELHO","N",IF(Template!$AA187="N","N1",IF(Template!$AA187="N1","N2",IF(Template!$AA187="N2","N3",IF(Template!$AA187="N3","N4",IF(Template!$AA187="N4","N5",IF(Template!$AA187="N5","N6",IF(Template!$AA187="N6","N7",IF(Template!$AA187="N7","N8",IF(Template!$AA187="N8","N9",IF(Template!$AA187="N9","N10","NA")))))))))))</f>
        <v>N4</v>
      </c>
      <c r="W187" s="17">
        <f>COUNTIF(Template!$M$3:$M$619,Template!$D187)</f>
        <v>0</v>
      </c>
      <c r="X187" s="17" t="str">
        <f>IF(Template!$F187="","",SUMIF(Template!$M$3:$M$619,Template!$D187,Template!$AC$3:$AC$619))</f>
        <v/>
      </c>
      <c r="Y187" s="17" t="str">
        <f>IFERROR(VLOOKUP(Template!$M187,Template!$D$3:$G$619,MATCH("EmployeeJobTitle",Template!$D$2:$G$2,0),FALSE),"NA")</f>
        <v>GERENTE DE LOJA</v>
      </c>
      <c r="Z187" s="17" t="str">
        <f>IFERROR(VLOOKUP(Template!$M187,Template!$D$3:$G$619,MATCH("EmployeeGroup",Template!$D$2:$G$2,0),FALSE),"NA")</f>
        <v>GERENTE</v>
      </c>
      <c r="AA187" s="17" t="str">
        <f>IFERROR(VLOOKUP(Template!$M187,Template!$D$3:$V$619,MATCH("Layer",Template!$D$2:$V$2,0),FALSE),"NA")</f>
        <v>N3</v>
      </c>
      <c r="AB187" s="21">
        <f>VLOOKUP(Template!$M187,Template!$D$3:$F$619,MATCH("InternalGrade",Template!$D$2:$F$2,0),FALSE)-Template!$F187</f>
        <v>0</v>
      </c>
      <c r="AC187" s="17">
        <f>IF(Template!$AB187&lt;=1, 0.8,IF(Template!$AB187=2,0.4,IF(Template!$AB187=3,0.2,IF(Template!$AB187=4,0.1,IF(Template!$AB187&gt;=5,0.05,"erro")))))</f>
        <v>0.8</v>
      </c>
      <c r="AD187" s="17" t="b">
        <f>Template!$D187=Template!$M187</f>
        <v>0</v>
      </c>
      <c r="AE187" s="12" t="s">
        <v>58</v>
      </c>
    </row>
    <row r="188" ht="15.75" customHeight="1">
      <c r="A188" s="7" t="s">
        <v>190</v>
      </c>
      <c r="B188" s="7" t="s">
        <v>209</v>
      </c>
      <c r="C188" s="7" t="s">
        <v>212</v>
      </c>
      <c r="D188" s="13">
        <v>20107.0</v>
      </c>
      <c r="E188" s="7" t="s">
        <v>193</v>
      </c>
      <c r="F188" s="13"/>
      <c r="G188" s="14" t="s">
        <v>63</v>
      </c>
      <c r="H188" s="7" t="s">
        <v>64</v>
      </c>
      <c r="I188" s="7" t="s">
        <v>65</v>
      </c>
      <c r="J188" s="7" t="s">
        <v>70</v>
      </c>
      <c r="K188" s="15">
        <v>44516.0</v>
      </c>
      <c r="L188" s="15">
        <v>33579.0</v>
      </c>
      <c r="M188" s="13">
        <v>24024.0</v>
      </c>
      <c r="N188" s="7"/>
      <c r="O188" s="7"/>
      <c r="P188" s="7">
        <v>13.33</v>
      </c>
      <c r="Q188" s="7"/>
      <c r="R188" s="20"/>
      <c r="S188" s="7"/>
      <c r="T188" s="20"/>
      <c r="U188" s="16">
        <f>SUM(Template!$N188:$O188)*Template!$P188+Template!$Q188</f>
        <v>0</v>
      </c>
      <c r="V188" s="17" t="str">
        <f>IF(Template!$M188="CONSELHO","N",IF(Template!$AA188="N","N1",IF(Template!$AA188="N1","N2",IF(Template!$AA188="N2","N3",IF(Template!$AA188="N3","N4",IF(Template!$AA188="N4","N5",IF(Template!$AA188="N5","N6",IF(Template!$AA188="N6","N7",IF(Template!$AA188="N7","N8",IF(Template!$AA188="N8","N9",IF(Template!$AA188="N9","N10","NA")))))))))))</f>
        <v>N4</v>
      </c>
      <c r="W188" s="17">
        <f>COUNTIF(Template!$M$3:$M$619,Template!$D188)</f>
        <v>0</v>
      </c>
      <c r="X188" s="17" t="str">
        <f>IF(Template!$F188="","",SUMIF(Template!$M$3:$M$619,Template!$D188,Template!$AC$3:$AC$619))</f>
        <v/>
      </c>
      <c r="Y188" s="17" t="str">
        <f>IFERROR(VLOOKUP(Template!$M188,Template!$D$3:$G$619,MATCH("EmployeeJobTitle",Template!$D$2:$G$2,0),FALSE),"NA")</f>
        <v>GERENTE DE LOJA</v>
      </c>
      <c r="Z188" s="17" t="str">
        <f>IFERROR(VLOOKUP(Template!$M188,Template!$D$3:$G$619,MATCH("EmployeeGroup",Template!$D$2:$G$2,0),FALSE),"NA")</f>
        <v>GERENTE</v>
      </c>
      <c r="AA188" s="17" t="str">
        <f>IFERROR(VLOOKUP(Template!$M188,Template!$D$3:$V$619,MATCH("Layer",Template!$D$2:$V$2,0),FALSE),"NA")</f>
        <v>N3</v>
      </c>
      <c r="AB188" s="21">
        <f>VLOOKUP(Template!$M188,Template!$D$3:$F$619,MATCH("InternalGrade",Template!$D$2:$F$2,0),FALSE)-Template!$F188</f>
        <v>0</v>
      </c>
      <c r="AC188" s="17">
        <f>IF(Template!$AB188&lt;=1, 0.8,IF(Template!$AB188=2,0.4,IF(Template!$AB188=3,0.2,IF(Template!$AB188=4,0.1,IF(Template!$AB188&gt;=5,0.05,"erro")))))</f>
        <v>0.8</v>
      </c>
      <c r="AD188" s="17" t="b">
        <f>Template!$D188=Template!$M188</f>
        <v>0</v>
      </c>
      <c r="AE188" s="12" t="s">
        <v>58</v>
      </c>
    </row>
    <row r="189" ht="15.75" customHeight="1">
      <c r="A189" s="7" t="s">
        <v>190</v>
      </c>
      <c r="B189" s="7" t="s">
        <v>209</v>
      </c>
      <c r="C189" s="7" t="s">
        <v>212</v>
      </c>
      <c r="D189" s="13">
        <v>24491.0</v>
      </c>
      <c r="E189" s="7" t="s">
        <v>196</v>
      </c>
      <c r="F189" s="13"/>
      <c r="G189" s="14" t="s">
        <v>63</v>
      </c>
      <c r="H189" s="7" t="s">
        <v>64</v>
      </c>
      <c r="I189" s="7" t="s">
        <v>65</v>
      </c>
      <c r="J189" s="7" t="s">
        <v>70</v>
      </c>
      <c r="K189" s="15">
        <v>45236.0</v>
      </c>
      <c r="L189" s="15">
        <v>37656.0</v>
      </c>
      <c r="M189" s="13">
        <v>24024.0</v>
      </c>
      <c r="N189" s="7">
        <v>1893.0</v>
      </c>
      <c r="O189" s="7"/>
      <c r="P189" s="7">
        <v>13.33</v>
      </c>
      <c r="Q189" s="7"/>
      <c r="R189" s="20"/>
      <c r="S189" s="7"/>
      <c r="T189" s="20"/>
      <c r="U189" s="16">
        <f>SUM(Template!$N189:$O189)*Template!$P189+Template!$Q189</f>
        <v>25233.69</v>
      </c>
      <c r="V189" s="17" t="str">
        <f>IF(Template!$M189="CONSELHO","N",IF(Template!$AA189="N","N1",IF(Template!$AA189="N1","N2",IF(Template!$AA189="N2","N3",IF(Template!$AA189="N3","N4",IF(Template!$AA189="N4","N5",IF(Template!$AA189="N5","N6",IF(Template!$AA189="N6","N7",IF(Template!$AA189="N7","N8",IF(Template!$AA189="N8","N9",IF(Template!$AA189="N9","N10","NA")))))))))))</f>
        <v>N4</v>
      </c>
      <c r="W189" s="17">
        <f>COUNTIF(Template!$M$3:$M$619,Template!$D189)</f>
        <v>0</v>
      </c>
      <c r="X189" s="17" t="str">
        <f>IF(Template!$F189="","",SUMIF(Template!$M$3:$M$619,Template!$D189,Template!$AC$3:$AC$619))</f>
        <v/>
      </c>
      <c r="Y189" s="17" t="str">
        <f>IFERROR(VLOOKUP(Template!$M189,Template!$D$3:$G$619,MATCH("EmployeeJobTitle",Template!$D$2:$G$2,0),FALSE),"NA")</f>
        <v>GERENTE DE LOJA</v>
      </c>
      <c r="Z189" s="17" t="str">
        <f>IFERROR(VLOOKUP(Template!$M189,Template!$D$3:$G$619,MATCH("EmployeeGroup",Template!$D$2:$G$2,0),FALSE),"NA")</f>
        <v>GERENTE</v>
      </c>
      <c r="AA189" s="17" t="str">
        <f>IFERROR(VLOOKUP(Template!$M189,Template!$D$3:$V$619,MATCH("Layer",Template!$D$2:$V$2,0),FALSE),"NA")</f>
        <v>N3</v>
      </c>
      <c r="AB189" s="21">
        <f>VLOOKUP(Template!$M189,Template!$D$3:$F$619,MATCH("InternalGrade",Template!$D$2:$F$2,0),FALSE)-Template!$F189</f>
        <v>0</v>
      </c>
      <c r="AC189" s="17">
        <f>IF(Template!$AB189&lt;=1, 0.8,IF(Template!$AB189=2,0.4,IF(Template!$AB189=3,0.2,IF(Template!$AB189=4,0.1,IF(Template!$AB189&gt;=5,0.05,"erro")))))</f>
        <v>0.8</v>
      </c>
      <c r="AD189" s="17" t="b">
        <f>Template!$D189=Template!$M189</f>
        <v>0</v>
      </c>
      <c r="AE189" s="12" t="s">
        <v>58</v>
      </c>
    </row>
    <row r="190" ht="15.75" customHeight="1">
      <c r="A190" s="7" t="s">
        <v>190</v>
      </c>
      <c r="B190" s="7" t="s">
        <v>209</v>
      </c>
      <c r="C190" s="7" t="s">
        <v>212</v>
      </c>
      <c r="D190" s="13">
        <v>17435.0</v>
      </c>
      <c r="E190" s="7" t="s">
        <v>193</v>
      </c>
      <c r="F190" s="13"/>
      <c r="G190" s="14" t="s">
        <v>63</v>
      </c>
      <c r="H190" s="7" t="s">
        <v>64</v>
      </c>
      <c r="I190" s="7" t="s">
        <v>65</v>
      </c>
      <c r="J190" s="7" t="s">
        <v>70</v>
      </c>
      <c r="K190" s="15">
        <v>43437.0</v>
      </c>
      <c r="L190" s="15">
        <v>33508.0</v>
      </c>
      <c r="M190" s="13">
        <v>24024.0</v>
      </c>
      <c r="N190" s="7"/>
      <c r="O190" s="7"/>
      <c r="P190" s="7">
        <v>13.33</v>
      </c>
      <c r="Q190" s="7"/>
      <c r="R190" s="20"/>
      <c r="S190" s="7"/>
      <c r="T190" s="20"/>
      <c r="U190" s="16">
        <f>SUM(Template!$N190:$O190)*Template!$P190+Template!$Q190</f>
        <v>0</v>
      </c>
      <c r="V190" s="17" t="str">
        <f>IF(Template!$M190="CONSELHO","N",IF(Template!$AA190="N","N1",IF(Template!$AA190="N1","N2",IF(Template!$AA190="N2","N3",IF(Template!$AA190="N3","N4",IF(Template!$AA190="N4","N5",IF(Template!$AA190="N5","N6",IF(Template!$AA190="N6","N7",IF(Template!$AA190="N7","N8",IF(Template!$AA190="N8","N9",IF(Template!$AA190="N9","N10","NA")))))))))))</f>
        <v>N4</v>
      </c>
      <c r="W190" s="17">
        <f>COUNTIF(Template!$M$3:$M$619,Template!$D190)</f>
        <v>0</v>
      </c>
      <c r="X190" s="17" t="str">
        <f>IF(Template!$F190="","",SUMIF(Template!$M$3:$M$619,Template!$D190,Template!$AC$3:$AC$619))</f>
        <v/>
      </c>
      <c r="Y190" s="17" t="str">
        <f>IFERROR(VLOOKUP(Template!$M190,Template!$D$3:$G$619,MATCH("EmployeeJobTitle",Template!$D$2:$G$2,0),FALSE),"NA")</f>
        <v>GERENTE DE LOJA</v>
      </c>
      <c r="Z190" s="17" t="str">
        <f>IFERROR(VLOOKUP(Template!$M190,Template!$D$3:$G$619,MATCH("EmployeeGroup",Template!$D$2:$G$2,0),FALSE),"NA")</f>
        <v>GERENTE</v>
      </c>
      <c r="AA190" s="17" t="str">
        <f>IFERROR(VLOOKUP(Template!$M190,Template!$D$3:$V$619,MATCH("Layer",Template!$D$2:$V$2,0),FALSE),"NA")</f>
        <v>N3</v>
      </c>
      <c r="AB190" s="21">
        <f>VLOOKUP(Template!$M190,Template!$D$3:$F$619,MATCH("InternalGrade",Template!$D$2:$F$2,0),FALSE)-Template!$F190</f>
        <v>0</v>
      </c>
      <c r="AC190" s="17">
        <f>IF(Template!$AB190&lt;=1, 0.8,IF(Template!$AB190=2,0.4,IF(Template!$AB190=3,0.2,IF(Template!$AB190=4,0.1,IF(Template!$AB190&gt;=5,0.05,"erro")))))</f>
        <v>0.8</v>
      </c>
      <c r="AD190" s="17" t="b">
        <f>Template!$D190=Template!$M190</f>
        <v>0</v>
      </c>
      <c r="AE190" s="12" t="s">
        <v>58</v>
      </c>
    </row>
    <row r="191" ht="15.75" customHeight="1">
      <c r="A191" s="7" t="s">
        <v>190</v>
      </c>
      <c r="B191" s="7" t="s">
        <v>209</v>
      </c>
      <c r="C191" s="7" t="s">
        <v>212</v>
      </c>
      <c r="D191" s="13">
        <v>14148.0</v>
      </c>
      <c r="E191" s="7" t="s">
        <v>193</v>
      </c>
      <c r="F191" s="13"/>
      <c r="G191" s="14" t="s">
        <v>63</v>
      </c>
      <c r="H191" s="7" t="s">
        <v>64</v>
      </c>
      <c r="I191" s="7" t="s">
        <v>65</v>
      </c>
      <c r="J191" s="7" t="s">
        <v>70</v>
      </c>
      <c r="K191" s="15">
        <v>42083.0</v>
      </c>
      <c r="L191" s="15">
        <v>32860.0</v>
      </c>
      <c r="M191" s="13">
        <v>24024.0</v>
      </c>
      <c r="N191" s="7"/>
      <c r="O191" s="7"/>
      <c r="P191" s="7">
        <v>13.33</v>
      </c>
      <c r="Q191" s="7"/>
      <c r="R191" s="20"/>
      <c r="S191" s="7"/>
      <c r="T191" s="20"/>
      <c r="U191" s="16">
        <f>SUM(Template!$N191:$O191)*Template!$P191+Template!$Q191</f>
        <v>0</v>
      </c>
      <c r="V191" s="17" t="str">
        <f>IF(Template!$M191="CONSELHO","N",IF(Template!$AA191="N","N1",IF(Template!$AA191="N1","N2",IF(Template!$AA191="N2","N3",IF(Template!$AA191="N3","N4",IF(Template!$AA191="N4","N5",IF(Template!$AA191="N5","N6",IF(Template!$AA191="N6","N7",IF(Template!$AA191="N7","N8",IF(Template!$AA191="N8","N9",IF(Template!$AA191="N9","N10","NA")))))))))))</f>
        <v>N4</v>
      </c>
      <c r="W191" s="17">
        <f>COUNTIF(Template!$M$3:$M$619,Template!$D191)</f>
        <v>0</v>
      </c>
      <c r="X191" s="17" t="str">
        <f>IF(Template!$F191="","",SUMIF(Template!$M$3:$M$619,Template!$D191,Template!$AC$3:$AC$619))</f>
        <v/>
      </c>
      <c r="Y191" s="17" t="str">
        <f>IFERROR(VLOOKUP(Template!$M191,Template!$D$3:$G$619,MATCH("EmployeeJobTitle",Template!$D$2:$G$2,0),FALSE),"NA")</f>
        <v>GERENTE DE LOJA</v>
      </c>
      <c r="Z191" s="17" t="str">
        <f>IFERROR(VLOOKUP(Template!$M191,Template!$D$3:$G$619,MATCH("EmployeeGroup",Template!$D$2:$G$2,0),FALSE),"NA")</f>
        <v>GERENTE</v>
      </c>
      <c r="AA191" s="17" t="str">
        <f>IFERROR(VLOOKUP(Template!$M191,Template!$D$3:$V$619,MATCH("Layer",Template!$D$2:$V$2,0),FALSE),"NA")</f>
        <v>N3</v>
      </c>
      <c r="AB191" s="21">
        <f>VLOOKUP(Template!$M191,Template!$D$3:$F$619,MATCH("InternalGrade",Template!$D$2:$F$2,0),FALSE)-Template!$F191</f>
        <v>0</v>
      </c>
      <c r="AC191" s="17">
        <f>IF(Template!$AB191&lt;=1, 0.8,IF(Template!$AB191=2,0.4,IF(Template!$AB191=3,0.2,IF(Template!$AB191=4,0.1,IF(Template!$AB191&gt;=5,0.05,"erro")))))</f>
        <v>0.8</v>
      </c>
      <c r="AD191" s="17" t="b">
        <f>Template!$D191=Template!$M191</f>
        <v>0</v>
      </c>
      <c r="AE191" s="12" t="s">
        <v>58</v>
      </c>
    </row>
    <row r="192" ht="15.75" customHeight="1">
      <c r="A192" s="7" t="s">
        <v>190</v>
      </c>
      <c r="B192" s="7" t="s">
        <v>209</v>
      </c>
      <c r="C192" s="7" t="s">
        <v>212</v>
      </c>
      <c r="D192" s="13">
        <v>13329.0</v>
      </c>
      <c r="E192" s="7" t="s">
        <v>207</v>
      </c>
      <c r="F192" s="13"/>
      <c r="G192" s="14" t="s">
        <v>63</v>
      </c>
      <c r="H192" s="7" t="s">
        <v>64</v>
      </c>
      <c r="I192" s="7" t="s">
        <v>65</v>
      </c>
      <c r="J192" s="7" t="s">
        <v>66</v>
      </c>
      <c r="K192" s="15">
        <v>41717.0</v>
      </c>
      <c r="L192" s="15">
        <v>31937.0</v>
      </c>
      <c r="M192" s="13">
        <v>24024.0</v>
      </c>
      <c r="N192" s="7">
        <v>2461.0</v>
      </c>
      <c r="O192" s="7"/>
      <c r="P192" s="7">
        <v>13.33</v>
      </c>
      <c r="Q192" s="7"/>
      <c r="R192" s="20"/>
      <c r="S192" s="7"/>
      <c r="T192" s="20"/>
      <c r="U192" s="16">
        <f>SUM(Template!$N192:$O192)*Template!$P192+Template!$Q192</f>
        <v>32805.13</v>
      </c>
      <c r="V192" s="17" t="str">
        <f>IF(Template!$M192="CONSELHO","N",IF(Template!$AA192="N","N1",IF(Template!$AA192="N1","N2",IF(Template!$AA192="N2","N3",IF(Template!$AA192="N3","N4",IF(Template!$AA192="N4","N5",IF(Template!$AA192="N5","N6",IF(Template!$AA192="N6","N7",IF(Template!$AA192="N7","N8",IF(Template!$AA192="N8","N9",IF(Template!$AA192="N9","N10","NA")))))))))))</f>
        <v>N4</v>
      </c>
      <c r="W192" s="17">
        <f>COUNTIF(Template!$M$3:$M$619,Template!$D192)</f>
        <v>0</v>
      </c>
      <c r="X192" s="17" t="str">
        <f>IF(Template!$F192="","",SUMIF(Template!$M$3:$M$619,Template!$D192,Template!$AC$3:$AC$619))</f>
        <v/>
      </c>
      <c r="Y192" s="17" t="str">
        <f>IFERROR(VLOOKUP(Template!$M192,Template!$D$3:$G$619,MATCH("EmployeeJobTitle",Template!$D$2:$G$2,0),FALSE),"NA")</f>
        <v>GERENTE DE LOJA</v>
      </c>
      <c r="Z192" s="17" t="str">
        <f>IFERROR(VLOOKUP(Template!$M192,Template!$D$3:$G$619,MATCH("EmployeeGroup",Template!$D$2:$G$2,0),FALSE),"NA")</f>
        <v>GERENTE</v>
      </c>
      <c r="AA192" s="17" t="str">
        <f>IFERROR(VLOOKUP(Template!$M192,Template!$D$3:$V$619,MATCH("Layer",Template!$D$2:$V$2,0),FALSE),"NA")</f>
        <v>N3</v>
      </c>
      <c r="AB192" s="21">
        <f>VLOOKUP(Template!$M192,Template!$D$3:$F$619,MATCH("InternalGrade",Template!$D$2:$F$2,0),FALSE)-Template!$F192</f>
        <v>0</v>
      </c>
      <c r="AC192" s="17">
        <f>IF(Template!$AB192&lt;=1, 0.8,IF(Template!$AB192=2,0.4,IF(Template!$AB192=3,0.2,IF(Template!$AB192=4,0.1,IF(Template!$AB192&gt;=5,0.05,"erro")))))</f>
        <v>0.8</v>
      </c>
      <c r="AD192" s="17" t="b">
        <f>Template!$D192=Template!$M192</f>
        <v>0</v>
      </c>
      <c r="AE192" s="12" t="s">
        <v>58</v>
      </c>
    </row>
    <row r="193" ht="15.75" customHeight="1">
      <c r="A193" s="7" t="s">
        <v>190</v>
      </c>
      <c r="B193" s="7" t="s">
        <v>209</v>
      </c>
      <c r="C193" s="7" t="s">
        <v>212</v>
      </c>
      <c r="D193" s="13">
        <v>20075.0</v>
      </c>
      <c r="E193" s="7" t="s">
        <v>193</v>
      </c>
      <c r="F193" s="13"/>
      <c r="G193" s="14" t="s">
        <v>63</v>
      </c>
      <c r="H193" s="7" t="s">
        <v>64</v>
      </c>
      <c r="I193" s="7" t="s">
        <v>65</v>
      </c>
      <c r="J193" s="7" t="s">
        <v>70</v>
      </c>
      <c r="K193" s="15">
        <v>44516.0</v>
      </c>
      <c r="L193" s="15">
        <v>29333.0</v>
      </c>
      <c r="M193" s="13">
        <v>24024.0</v>
      </c>
      <c r="N193" s="7"/>
      <c r="O193" s="7"/>
      <c r="P193" s="7">
        <v>13.33</v>
      </c>
      <c r="Q193" s="7"/>
      <c r="R193" s="20"/>
      <c r="S193" s="7"/>
      <c r="T193" s="20"/>
      <c r="U193" s="16">
        <f>SUM(Template!$N193:$O193)*Template!$P193+Template!$Q193</f>
        <v>0</v>
      </c>
      <c r="V193" s="17" t="str">
        <f>IF(Template!$M193="CONSELHO","N",IF(Template!$AA193="N","N1",IF(Template!$AA193="N1","N2",IF(Template!$AA193="N2","N3",IF(Template!$AA193="N3","N4",IF(Template!$AA193="N4","N5",IF(Template!$AA193="N5","N6",IF(Template!$AA193="N6","N7",IF(Template!$AA193="N7","N8",IF(Template!$AA193="N8","N9",IF(Template!$AA193="N9","N10","NA")))))))))))</f>
        <v>N4</v>
      </c>
      <c r="W193" s="17">
        <f>COUNTIF(Template!$M$3:$M$619,Template!$D193)</f>
        <v>0</v>
      </c>
      <c r="X193" s="17" t="str">
        <f>IF(Template!$F193="","",SUMIF(Template!$M$3:$M$619,Template!$D193,Template!$AC$3:$AC$619))</f>
        <v/>
      </c>
      <c r="Y193" s="17" t="str">
        <f>IFERROR(VLOOKUP(Template!$M193,Template!$D$3:$G$619,MATCH("EmployeeJobTitle",Template!$D$2:$G$2,0),FALSE),"NA")</f>
        <v>GERENTE DE LOJA</v>
      </c>
      <c r="Z193" s="17" t="str">
        <f>IFERROR(VLOOKUP(Template!$M193,Template!$D$3:$G$619,MATCH("EmployeeGroup",Template!$D$2:$G$2,0),FALSE),"NA")</f>
        <v>GERENTE</v>
      </c>
      <c r="AA193" s="17" t="str">
        <f>IFERROR(VLOOKUP(Template!$M193,Template!$D$3:$V$619,MATCH("Layer",Template!$D$2:$V$2,0),FALSE),"NA")</f>
        <v>N3</v>
      </c>
      <c r="AB193" s="21">
        <f>VLOOKUP(Template!$M193,Template!$D$3:$F$619,MATCH("InternalGrade",Template!$D$2:$F$2,0),FALSE)-Template!$F193</f>
        <v>0</v>
      </c>
      <c r="AC193" s="17">
        <f>IF(Template!$AB193&lt;=1, 0.8,IF(Template!$AB193=2,0.4,IF(Template!$AB193=3,0.2,IF(Template!$AB193=4,0.1,IF(Template!$AB193&gt;=5,0.05,"erro")))))</f>
        <v>0.8</v>
      </c>
      <c r="AD193" s="17" t="b">
        <f>Template!$D193=Template!$M193</f>
        <v>0</v>
      </c>
      <c r="AE193" s="12" t="s">
        <v>58</v>
      </c>
    </row>
    <row r="194" ht="15.75" customHeight="1">
      <c r="A194" s="7" t="s">
        <v>190</v>
      </c>
      <c r="B194" s="7" t="s">
        <v>209</v>
      </c>
      <c r="C194" s="7" t="s">
        <v>212</v>
      </c>
      <c r="D194" s="13">
        <v>25089.0</v>
      </c>
      <c r="E194" s="7" t="s">
        <v>193</v>
      </c>
      <c r="F194" s="13"/>
      <c r="G194" s="14" t="s">
        <v>63</v>
      </c>
      <c r="H194" s="7" t="s">
        <v>64</v>
      </c>
      <c r="I194" s="7" t="s">
        <v>65</v>
      </c>
      <c r="J194" s="7" t="s">
        <v>70</v>
      </c>
      <c r="K194" s="15">
        <v>45446.0</v>
      </c>
      <c r="L194" s="15">
        <v>29138.0</v>
      </c>
      <c r="M194" s="13">
        <v>24024.0</v>
      </c>
      <c r="N194" s="7"/>
      <c r="O194" s="7"/>
      <c r="P194" s="7">
        <v>13.33</v>
      </c>
      <c r="Q194" s="7"/>
      <c r="R194" s="20"/>
      <c r="S194" s="7"/>
      <c r="T194" s="20"/>
      <c r="U194" s="16">
        <f>SUM(Template!$N194:$O194)*Template!$P194+Template!$Q194</f>
        <v>0</v>
      </c>
      <c r="V194" s="17" t="str">
        <f>IF(Template!$M194="CONSELHO","N",IF(Template!$AA194="N","N1",IF(Template!$AA194="N1","N2",IF(Template!$AA194="N2","N3",IF(Template!$AA194="N3","N4",IF(Template!$AA194="N4","N5",IF(Template!$AA194="N5","N6",IF(Template!$AA194="N6","N7",IF(Template!$AA194="N7","N8",IF(Template!$AA194="N8","N9",IF(Template!$AA194="N9","N10","NA")))))))))))</f>
        <v>N4</v>
      </c>
      <c r="W194" s="17">
        <f>COUNTIF(Template!$M$3:$M$619,Template!$D194)</f>
        <v>0</v>
      </c>
      <c r="X194" s="17" t="str">
        <f>IF(Template!$F194="","",SUMIF(Template!$M$3:$M$619,Template!$D194,Template!$AC$3:$AC$619))</f>
        <v/>
      </c>
      <c r="Y194" s="17" t="str">
        <f>IFERROR(VLOOKUP(Template!$M194,Template!$D$3:$G$619,MATCH("EmployeeJobTitle",Template!$D$2:$G$2,0),FALSE),"NA")</f>
        <v>GERENTE DE LOJA</v>
      </c>
      <c r="Z194" s="17" t="str">
        <f>IFERROR(VLOOKUP(Template!$M194,Template!$D$3:$G$619,MATCH("EmployeeGroup",Template!$D$2:$G$2,0),FALSE),"NA")</f>
        <v>GERENTE</v>
      </c>
      <c r="AA194" s="17" t="str">
        <f>IFERROR(VLOOKUP(Template!$M194,Template!$D$3:$V$619,MATCH("Layer",Template!$D$2:$V$2,0),FALSE),"NA")</f>
        <v>N3</v>
      </c>
      <c r="AB194" s="21">
        <f>VLOOKUP(Template!$M194,Template!$D$3:$F$619,MATCH("InternalGrade",Template!$D$2:$F$2,0),FALSE)-Template!$F194</f>
        <v>0</v>
      </c>
      <c r="AC194" s="17">
        <f>IF(Template!$AB194&lt;=1, 0.8,IF(Template!$AB194=2,0.4,IF(Template!$AB194=3,0.2,IF(Template!$AB194=4,0.1,IF(Template!$AB194&gt;=5,0.05,"erro")))))</f>
        <v>0.8</v>
      </c>
      <c r="AD194" s="17" t="b">
        <f>Template!$D194=Template!$M194</f>
        <v>0</v>
      </c>
      <c r="AE194" s="12" t="s">
        <v>58</v>
      </c>
    </row>
    <row r="195" ht="15.75" customHeight="1">
      <c r="A195" s="7" t="s">
        <v>190</v>
      </c>
      <c r="B195" s="7" t="s">
        <v>209</v>
      </c>
      <c r="C195" s="7" t="s">
        <v>212</v>
      </c>
      <c r="D195" s="13">
        <v>24135.0</v>
      </c>
      <c r="E195" s="7" t="s">
        <v>203</v>
      </c>
      <c r="F195" s="13"/>
      <c r="G195" s="14" t="s">
        <v>63</v>
      </c>
      <c r="H195" s="7" t="s">
        <v>64</v>
      </c>
      <c r="I195" s="7" t="s">
        <v>65</v>
      </c>
      <c r="J195" s="7" t="s">
        <v>70</v>
      </c>
      <c r="K195" s="15">
        <v>45117.0</v>
      </c>
      <c r="L195" s="15">
        <v>32867.0</v>
      </c>
      <c r="M195" s="13">
        <v>24024.0</v>
      </c>
      <c r="N195" s="7"/>
      <c r="O195" s="7"/>
      <c r="P195" s="7">
        <v>13.33</v>
      </c>
      <c r="Q195" s="7"/>
      <c r="R195" s="20"/>
      <c r="S195" s="7"/>
      <c r="T195" s="20"/>
      <c r="U195" s="16">
        <f>SUM(Template!$N195:$O195)*Template!$P195+Template!$Q195</f>
        <v>0</v>
      </c>
      <c r="V195" s="17" t="str">
        <f>IF(Template!$M195="CONSELHO","N",IF(Template!$AA195="N","N1",IF(Template!$AA195="N1","N2",IF(Template!$AA195="N2","N3",IF(Template!$AA195="N3","N4",IF(Template!$AA195="N4","N5",IF(Template!$AA195="N5","N6",IF(Template!$AA195="N6","N7",IF(Template!$AA195="N7","N8",IF(Template!$AA195="N8","N9",IF(Template!$AA195="N9","N10","NA")))))))))))</f>
        <v>N4</v>
      </c>
      <c r="W195" s="17">
        <f>COUNTIF(Template!$M$3:$M$619,Template!$D195)</f>
        <v>0</v>
      </c>
      <c r="X195" s="17" t="str">
        <f>IF(Template!$F195="","",SUMIF(Template!$M$3:$M$619,Template!$D195,Template!$AC$3:$AC$619))</f>
        <v/>
      </c>
      <c r="Y195" s="17" t="str">
        <f>IFERROR(VLOOKUP(Template!$M195,Template!$D$3:$G$619,MATCH("EmployeeJobTitle",Template!$D$2:$G$2,0),FALSE),"NA")</f>
        <v>GERENTE DE LOJA</v>
      </c>
      <c r="Z195" s="17" t="str">
        <f>IFERROR(VLOOKUP(Template!$M195,Template!$D$3:$G$619,MATCH("EmployeeGroup",Template!$D$2:$G$2,0),FALSE),"NA")</f>
        <v>GERENTE</v>
      </c>
      <c r="AA195" s="17" t="str">
        <f>IFERROR(VLOOKUP(Template!$M195,Template!$D$3:$V$619,MATCH("Layer",Template!$D$2:$V$2,0),FALSE),"NA")</f>
        <v>N3</v>
      </c>
      <c r="AB195" s="21">
        <f>VLOOKUP(Template!$M195,Template!$D$3:$F$619,MATCH("InternalGrade",Template!$D$2:$F$2,0),FALSE)-Template!$F195</f>
        <v>0</v>
      </c>
      <c r="AC195" s="17">
        <f>IF(Template!$AB195&lt;=1, 0.8,IF(Template!$AB195=2,0.4,IF(Template!$AB195=3,0.2,IF(Template!$AB195=4,0.1,IF(Template!$AB195&gt;=5,0.05,"erro")))))</f>
        <v>0.8</v>
      </c>
      <c r="AD195" s="17" t="b">
        <f>Template!$D195=Template!$M195</f>
        <v>0</v>
      </c>
      <c r="AE195" s="12" t="s">
        <v>58</v>
      </c>
    </row>
    <row r="196" ht="15.75" customHeight="1">
      <c r="A196" s="7" t="s">
        <v>190</v>
      </c>
      <c r="B196" s="7" t="s">
        <v>209</v>
      </c>
      <c r="C196" s="7" t="s">
        <v>212</v>
      </c>
      <c r="D196" s="13">
        <v>19401.0</v>
      </c>
      <c r="E196" s="7" t="s">
        <v>213</v>
      </c>
      <c r="F196" s="13"/>
      <c r="G196" s="14" t="s">
        <v>63</v>
      </c>
      <c r="H196" s="7" t="s">
        <v>64</v>
      </c>
      <c r="I196" s="7" t="s">
        <v>65</v>
      </c>
      <c r="J196" s="7" t="s">
        <v>70</v>
      </c>
      <c r="K196" s="15">
        <v>44245.0</v>
      </c>
      <c r="L196" s="15">
        <v>30992.0</v>
      </c>
      <c r="M196" s="13">
        <v>24024.0</v>
      </c>
      <c r="N196" s="7">
        <v>2038.0</v>
      </c>
      <c r="O196" s="7"/>
      <c r="P196" s="7">
        <v>13.33</v>
      </c>
      <c r="Q196" s="7"/>
      <c r="R196" s="20"/>
      <c r="S196" s="7"/>
      <c r="T196" s="20"/>
      <c r="U196" s="16">
        <f>SUM(Template!$N196:$O196)*Template!$P196+Template!$Q196</f>
        <v>27166.54</v>
      </c>
      <c r="V196" s="17" t="str">
        <f>IF(Template!$M196="CONSELHO","N",IF(Template!$AA196="N","N1",IF(Template!$AA196="N1","N2",IF(Template!$AA196="N2","N3",IF(Template!$AA196="N3","N4",IF(Template!$AA196="N4","N5",IF(Template!$AA196="N5","N6",IF(Template!$AA196="N6","N7",IF(Template!$AA196="N7","N8",IF(Template!$AA196="N8","N9",IF(Template!$AA196="N9","N10","NA")))))))))))</f>
        <v>N4</v>
      </c>
      <c r="W196" s="17">
        <f>COUNTIF(Template!$M$3:$M$619,Template!$D196)</f>
        <v>0</v>
      </c>
      <c r="X196" s="17" t="str">
        <f>IF(Template!$F196="","",SUMIF(Template!$M$3:$M$619,Template!$D196,Template!$AC$3:$AC$619))</f>
        <v/>
      </c>
      <c r="Y196" s="17" t="str">
        <f>IFERROR(VLOOKUP(Template!$M196,Template!$D$3:$G$619,MATCH("EmployeeJobTitle",Template!$D$2:$G$2,0),FALSE),"NA")</f>
        <v>GERENTE DE LOJA</v>
      </c>
      <c r="Z196" s="17" t="str">
        <f>IFERROR(VLOOKUP(Template!$M196,Template!$D$3:$G$619,MATCH("EmployeeGroup",Template!$D$2:$G$2,0),FALSE),"NA")</f>
        <v>GERENTE</v>
      </c>
      <c r="AA196" s="17" t="str">
        <f>IFERROR(VLOOKUP(Template!$M196,Template!$D$3:$V$619,MATCH("Layer",Template!$D$2:$V$2,0),FALSE),"NA")</f>
        <v>N3</v>
      </c>
      <c r="AB196" s="21">
        <f>VLOOKUP(Template!$M196,Template!$D$3:$F$619,MATCH("InternalGrade",Template!$D$2:$F$2,0),FALSE)-Template!$F196</f>
        <v>0</v>
      </c>
      <c r="AC196" s="17">
        <f>IF(Template!$AB196&lt;=1, 0.8,IF(Template!$AB196=2,0.4,IF(Template!$AB196=3,0.2,IF(Template!$AB196=4,0.1,IF(Template!$AB196&gt;=5,0.05,"erro")))))</f>
        <v>0.8</v>
      </c>
      <c r="AD196" s="17" t="b">
        <f>Template!$D196=Template!$M196</f>
        <v>0</v>
      </c>
      <c r="AE196" s="12" t="s">
        <v>58</v>
      </c>
    </row>
    <row r="197" ht="15.75" customHeight="1">
      <c r="A197" s="7" t="s">
        <v>190</v>
      </c>
      <c r="B197" s="7" t="s">
        <v>209</v>
      </c>
      <c r="C197" s="7" t="s">
        <v>212</v>
      </c>
      <c r="D197" s="13">
        <v>17149.0</v>
      </c>
      <c r="E197" s="7" t="s">
        <v>193</v>
      </c>
      <c r="F197" s="13"/>
      <c r="G197" s="14" t="s">
        <v>63</v>
      </c>
      <c r="H197" s="7" t="s">
        <v>64</v>
      </c>
      <c r="I197" s="7" t="s">
        <v>65</v>
      </c>
      <c r="J197" s="7" t="s">
        <v>70</v>
      </c>
      <c r="K197" s="15">
        <v>43405.0</v>
      </c>
      <c r="L197" s="15">
        <v>30974.0</v>
      </c>
      <c r="M197" s="13">
        <v>24024.0</v>
      </c>
      <c r="N197" s="7"/>
      <c r="O197" s="7"/>
      <c r="P197" s="7">
        <v>13.33</v>
      </c>
      <c r="Q197" s="7"/>
      <c r="R197" s="20"/>
      <c r="S197" s="7"/>
      <c r="T197" s="20"/>
      <c r="U197" s="16">
        <f>SUM(Template!$N197:$O197)*Template!$P197+Template!$Q197</f>
        <v>0</v>
      </c>
      <c r="V197" s="17" t="str">
        <f>IF(Template!$M197="CONSELHO","N",IF(Template!$AA197="N","N1",IF(Template!$AA197="N1","N2",IF(Template!$AA197="N2","N3",IF(Template!$AA197="N3","N4",IF(Template!$AA197="N4","N5",IF(Template!$AA197="N5","N6",IF(Template!$AA197="N6","N7",IF(Template!$AA197="N7","N8",IF(Template!$AA197="N8","N9",IF(Template!$AA197="N9","N10","NA")))))))))))</f>
        <v>N4</v>
      </c>
      <c r="W197" s="17">
        <f>COUNTIF(Template!$M$3:$M$619,Template!$D197)</f>
        <v>0</v>
      </c>
      <c r="X197" s="17" t="str">
        <f>IF(Template!$F197="","",SUMIF(Template!$M$3:$M$619,Template!$D197,Template!$AC$3:$AC$619))</f>
        <v/>
      </c>
      <c r="Y197" s="17" t="str">
        <f>IFERROR(VLOOKUP(Template!$M197,Template!$D$3:$G$619,MATCH("EmployeeJobTitle",Template!$D$2:$G$2,0),FALSE),"NA")</f>
        <v>GERENTE DE LOJA</v>
      </c>
      <c r="Z197" s="17" t="str">
        <f>IFERROR(VLOOKUP(Template!$M197,Template!$D$3:$G$619,MATCH("EmployeeGroup",Template!$D$2:$G$2,0),FALSE),"NA")</f>
        <v>GERENTE</v>
      </c>
      <c r="AA197" s="17" t="str">
        <f>IFERROR(VLOOKUP(Template!$M197,Template!$D$3:$V$619,MATCH("Layer",Template!$D$2:$V$2,0),FALSE),"NA")</f>
        <v>N3</v>
      </c>
      <c r="AB197" s="21">
        <f>VLOOKUP(Template!$M197,Template!$D$3:$F$619,MATCH("InternalGrade",Template!$D$2:$F$2,0),FALSE)-Template!$F197</f>
        <v>0</v>
      </c>
      <c r="AC197" s="17">
        <f>IF(Template!$AB197&lt;=1, 0.8,IF(Template!$AB197=2,0.4,IF(Template!$AB197=3,0.2,IF(Template!$AB197=4,0.1,IF(Template!$AB197&gt;=5,0.05,"erro")))))</f>
        <v>0.8</v>
      </c>
      <c r="AD197" s="17" t="b">
        <f>Template!$D197=Template!$M197</f>
        <v>0</v>
      </c>
      <c r="AE197" s="12" t="s">
        <v>58</v>
      </c>
    </row>
    <row r="198" ht="15.75" customHeight="1">
      <c r="A198" s="7" t="s">
        <v>190</v>
      </c>
      <c r="B198" s="7" t="s">
        <v>191</v>
      </c>
      <c r="C198" s="7" t="s">
        <v>214</v>
      </c>
      <c r="D198" s="13">
        <v>19217.0</v>
      </c>
      <c r="E198" s="7" t="s">
        <v>196</v>
      </c>
      <c r="F198" s="13"/>
      <c r="G198" s="14" t="s">
        <v>63</v>
      </c>
      <c r="H198" s="7" t="s">
        <v>64</v>
      </c>
      <c r="I198" s="7" t="s">
        <v>215</v>
      </c>
      <c r="J198" s="7" t="s">
        <v>70</v>
      </c>
      <c r="K198" s="15">
        <v>44166.0</v>
      </c>
      <c r="L198" s="15">
        <v>32127.0</v>
      </c>
      <c r="M198" s="13">
        <v>24037.0</v>
      </c>
      <c r="N198" s="7">
        <v>2007.0</v>
      </c>
      <c r="O198" s="7"/>
      <c r="P198" s="7">
        <v>13.33</v>
      </c>
      <c r="Q198" s="7"/>
      <c r="R198" s="20"/>
      <c r="S198" s="7"/>
      <c r="T198" s="20"/>
      <c r="U198" s="16">
        <f>SUM(Template!$N198:$O198)*Template!$P198+Template!$Q198</f>
        <v>26753.31</v>
      </c>
      <c r="V198" s="17" t="str">
        <f>IF(Template!$M198="CONSELHO","N",IF(Template!$AA198="N","N1",IF(Template!$AA198="N1","N2",IF(Template!$AA198="N2","N3",IF(Template!$AA198="N3","N4",IF(Template!$AA198="N4","N5",IF(Template!$AA198="N5","N6",IF(Template!$AA198="N6","N7",IF(Template!$AA198="N7","N8",IF(Template!$AA198="N8","N9",IF(Template!$AA198="N9","N10","NA")))))))))))</f>
        <v>N4</v>
      </c>
      <c r="W198" s="17">
        <f>COUNTIF(Template!$M$3:$M$619,Template!$D198)</f>
        <v>0</v>
      </c>
      <c r="X198" s="17" t="str">
        <f>IF(Template!$F198="","",SUMIF(Template!$M$3:$M$619,Template!$D198,Template!$AC$3:$AC$619))</f>
        <v/>
      </c>
      <c r="Y198" s="17" t="str">
        <f>IFERROR(VLOOKUP(Template!$M198,Template!$D$3:$G$619,MATCH("EmployeeJobTitle",Template!$D$2:$G$2,0),FALSE),"NA")</f>
        <v>GERENTE DE LOJA</v>
      </c>
      <c r="Z198" s="17" t="str">
        <f>IFERROR(VLOOKUP(Template!$M198,Template!$D$3:$G$619,MATCH("EmployeeGroup",Template!$D$2:$G$2,0),FALSE),"NA")</f>
        <v>GERENTE</v>
      </c>
      <c r="AA198" s="17" t="str">
        <f>IFERROR(VLOOKUP(Template!$M198,Template!$D$3:$V$619,MATCH("Layer",Template!$D$2:$V$2,0),FALSE),"NA")</f>
        <v>N3</v>
      </c>
      <c r="AB198" s="21">
        <f>VLOOKUP(Template!$M198,Template!$D$3:$F$619,MATCH("InternalGrade",Template!$D$2:$F$2,0),FALSE)-Template!$F198</f>
        <v>0</v>
      </c>
      <c r="AC198" s="17">
        <f>IF(Template!$AB198&lt;=1, 0.8,IF(Template!$AB198=2,0.4,IF(Template!$AB198=3,0.2,IF(Template!$AB198=4,0.1,IF(Template!$AB198&gt;=5,0.05,"erro")))))</f>
        <v>0.8</v>
      </c>
      <c r="AD198" s="17" t="b">
        <f>Template!$D198=Template!$M198</f>
        <v>0</v>
      </c>
      <c r="AE198" s="12" t="s">
        <v>58</v>
      </c>
    </row>
    <row r="199" ht="15.75" customHeight="1">
      <c r="A199" s="7" t="s">
        <v>190</v>
      </c>
      <c r="B199" s="7" t="s">
        <v>191</v>
      </c>
      <c r="C199" s="7" t="s">
        <v>214</v>
      </c>
      <c r="D199" s="13">
        <v>18852.0</v>
      </c>
      <c r="E199" s="7" t="s">
        <v>193</v>
      </c>
      <c r="F199" s="13"/>
      <c r="G199" s="14" t="s">
        <v>63</v>
      </c>
      <c r="H199" s="7" t="s">
        <v>64</v>
      </c>
      <c r="I199" s="7" t="s">
        <v>215</v>
      </c>
      <c r="J199" s="7" t="s">
        <v>70</v>
      </c>
      <c r="K199" s="15">
        <v>44138.0</v>
      </c>
      <c r="L199" s="15">
        <v>34739.0</v>
      </c>
      <c r="M199" s="13">
        <v>24037.0</v>
      </c>
      <c r="N199" s="7"/>
      <c r="O199" s="7"/>
      <c r="P199" s="7">
        <v>13.33</v>
      </c>
      <c r="Q199" s="7"/>
      <c r="R199" s="20"/>
      <c r="S199" s="7"/>
      <c r="T199" s="20"/>
      <c r="U199" s="16">
        <f>SUM(Template!$N199:$O199)*Template!$P199+Template!$Q199</f>
        <v>0</v>
      </c>
      <c r="V199" s="17" t="str">
        <f>IF(Template!$M199="CONSELHO","N",IF(Template!$AA199="N","N1",IF(Template!$AA199="N1","N2",IF(Template!$AA199="N2","N3",IF(Template!$AA199="N3","N4",IF(Template!$AA199="N4","N5",IF(Template!$AA199="N5","N6",IF(Template!$AA199="N6","N7",IF(Template!$AA199="N7","N8",IF(Template!$AA199="N8","N9",IF(Template!$AA199="N9","N10","NA")))))))))))</f>
        <v>N4</v>
      </c>
      <c r="W199" s="17">
        <f>COUNTIF(Template!$M$3:$M$619,Template!$D199)</f>
        <v>0</v>
      </c>
      <c r="X199" s="17" t="str">
        <f>IF(Template!$F199="","",SUMIF(Template!$M$3:$M$619,Template!$D199,Template!$AC$3:$AC$619))</f>
        <v/>
      </c>
      <c r="Y199" s="17" t="str">
        <f>IFERROR(VLOOKUP(Template!$M199,Template!$D$3:$G$619,MATCH("EmployeeJobTitle",Template!$D$2:$G$2,0),FALSE),"NA")</f>
        <v>GERENTE DE LOJA</v>
      </c>
      <c r="Z199" s="17" t="str">
        <f>IFERROR(VLOOKUP(Template!$M199,Template!$D$3:$G$619,MATCH("EmployeeGroup",Template!$D$2:$G$2,0),FALSE),"NA")</f>
        <v>GERENTE</v>
      </c>
      <c r="AA199" s="17" t="str">
        <f>IFERROR(VLOOKUP(Template!$M199,Template!$D$3:$V$619,MATCH("Layer",Template!$D$2:$V$2,0),FALSE),"NA")</f>
        <v>N3</v>
      </c>
      <c r="AB199" s="21">
        <f>VLOOKUP(Template!$M199,Template!$D$3:$F$619,MATCH("InternalGrade",Template!$D$2:$F$2,0),FALSE)-Template!$F199</f>
        <v>0</v>
      </c>
      <c r="AC199" s="17">
        <f>IF(Template!$AB199&lt;=1, 0.8,IF(Template!$AB199=2,0.4,IF(Template!$AB199=3,0.2,IF(Template!$AB199=4,0.1,IF(Template!$AB199&gt;=5,0.05,"erro")))))</f>
        <v>0.8</v>
      </c>
      <c r="AD199" s="17" t="b">
        <f>Template!$D199=Template!$M199</f>
        <v>0</v>
      </c>
      <c r="AE199" s="12" t="s">
        <v>58</v>
      </c>
    </row>
    <row r="200" ht="15.75" customHeight="1">
      <c r="A200" s="7" t="s">
        <v>190</v>
      </c>
      <c r="B200" s="7" t="s">
        <v>191</v>
      </c>
      <c r="C200" s="7" t="s">
        <v>214</v>
      </c>
      <c r="D200" s="13">
        <v>24990.0</v>
      </c>
      <c r="E200" s="7" t="s">
        <v>193</v>
      </c>
      <c r="F200" s="13"/>
      <c r="G200" s="14" t="s">
        <v>63</v>
      </c>
      <c r="H200" s="7" t="s">
        <v>64</v>
      </c>
      <c r="I200" s="7" t="s">
        <v>215</v>
      </c>
      <c r="J200" s="7" t="s">
        <v>70</v>
      </c>
      <c r="K200" s="15">
        <v>45390.0</v>
      </c>
      <c r="L200" s="15">
        <v>33119.0</v>
      </c>
      <c r="M200" s="13">
        <v>24037.0</v>
      </c>
      <c r="N200" s="7"/>
      <c r="O200" s="7"/>
      <c r="P200" s="7">
        <v>13.33</v>
      </c>
      <c r="Q200" s="7"/>
      <c r="R200" s="20"/>
      <c r="S200" s="7"/>
      <c r="T200" s="20"/>
      <c r="U200" s="16">
        <f>SUM(Template!$N200:$O200)*Template!$P200+Template!$Q200</f>
        <v>0</v>
      </c>
      <c r="V200" s="17" t="str">
        <f>IF(Template!$M200="CONSELHO","N",IF(Template!$AA200="N","N1",IF(Template!$AA200="N1","N2",IF(Template!$AA200="N2","N3",IF(Template!$AA200="N3","N4",IF(Template!$AA200="N4","N5",IF(Template!$AA200="N5","N6",IF(Template!$AA200="N6","N7",IF(Template!$AA200="N7","N8",IF(Template!$AA200="N8","N9",IF(Template!$AA200="N9","N10","NA")))))))))))</f>
        <v>N4</v>
      </c>
      <c r="W200" s="17">
        <f>COUNTIF(Template!$M$3:$M$619,Template!$D200)</f>
        <v>0</v>
      </c>
      <c r="X200" s="17" t="str">
        <f>IF(Template!$F200="","",SUMIF(Template!$M$3:$M$619,Template!$D200,Template!$AC$3:$AC$619))</f>
        <v/>
      </c>
      <c r="Y200" s="17" t="str">
        <f>IFERROR(VLOOKUP(Template!$M200,Template!$D$3:$G$619,MATCH("EmployeeJobTitle",Template!$D$2:$G$2,0),FALSE),"NA")</f>
        <v>GERENTE DE LOJA</v>
      </c>
      <c r="Z200" s="17" t="str">
        <f>IFERROR(VLOOKUP(Template!$M200,Template!$D$3:$G$619,MATCH("EmployeeGroup",Template!$D$2:$G$2,0),FALSE),"NA")</f>
        <v>GERENTE</v>
      </c>
      <c r="AA200" s="17" t="str">
        <f>IFERROR(VLOOKUP(Template!$M200,Template!$D$3:$V$619,MATCH("Layer",Template!$D$2:$V$2,0),FALSE),"NA")</f>
        <v>N3</v>
      </c>
      <c r="AB200" s="21">
        <f>VLOOKUP(Template!$M200,Template!$D$3:$F$619,MATCH("InternalGrade",Template!$D$2:$F$2,0),FALSE)-Template!$F200</f>
        <v>0</v>
      </c>
      <c r="AC200" s="17">
        <f>IF(Template!$AB200&lt;=1, 0.8,IF(Template!$AB200=2,0.4,IF(Template!$AB200=3,0.2,IF(Template!$AB200=4,0.1,IF(Template!$AB200&gt;=5,0.05,"erro")))))</f>
        <v>0.8</v>
      </c>
      <c r="AD200" s="17" t="b">
        <f>Template!$D200=Template!$M200</f>
        <v>0</v>
      </c>
      <c r="AE200" s="12" t="s">
        <v>58</v>
      </c>
    </row>
    <row r="201" ht="15.75" customHeight="1">
      <c r="A201" s="7" t="s">
        <v>190</v>
      </c>
      <c r="B201" s="7" t="s">
        <v>191</v>
      </c>
      <c r="C201" s="7" t="s">
        <v>214</v>
      </c>
      <c r="D201" s="13">
        <v>25040.0</v>
      </c>
      <c r="E201" s="7" t="s">
        <v>193</v>
      </c>
      <c r="F201" s="13"/>
      <c r="G201" s="14" t="s">
        <v>63</v>
      </c>
      <c r="H201" s="7" t="s">
        <v>64</v>
      </c>
      <c r="I201" s="7" t="s">
        <v>215</v>
      </c>
      <c r="J201" s="7" t="s">
        <v>70</v>
      </c>
      <c r="K201" s="15">
        <v>45418.0</v>
      </c>
      <c r="L201" s="15">
        <v>37643.0</v>
      </c>
      <c r="M201" s="13">
        <v>24037.0</v>
      </c>
      <c r="N201" s="7"/>
      <c r="O201" s="7"/>
      <c r="P201" s="7">
        <v>13.33</v>
      </c>
      <c r="Q201" s="7"/>
      <c r="R201" s="20"/>
      <c r="S201" s="7"/>
      <c r="T201" s="20"/>
      <c r="U201" s="16">
        <f>SUM(Template!$N201:$O201)*Template!$P201+Template!$Q201</f>
        <v>0</v>
      </c>
      <c r="V201" s="17" t="str">
        <f>IF(Template!$M201="CONSELHO","N",IF(Template!$AA201="N","N1",IF(Template!$AA201="N1","N2",IF(Template!$AA201="N2","N3",IF(Template!$AA201="N3","N4",IF(Template!$AA201="N4","N5",IF(Template!$AA201="N5","N6",IF(Template!$AA201="N6","N7",IF(Template!$AA201="N7","N8",IF(Template!$AA201="N8","N9",IF(Template!$AA201="N9","N10","NA")))))))))))</f>
        <v>N4</v>
      </c>
      <c r="W201" s="17">
        <f>COUNTIF(Template!$M$3:$M$619,Template!$D201)</f>
        <v>0</v>
      </c>
      <c r="X201" s="17" t="str">
        <f>IF(Template!$F201="","",SUMIF(Template!$M$3:$M$619,Template!$D201,Template!$AC$3:$AC$619))</f>
        <v/>
      </c>
      <c r="Y201" s="17" t="str">
        <f>IFERROR(VLOOKUP(Template!$M201,Template!$D$3:$G$619,MATCH("EmployeeJobTitle",Template!$D$2:$G$2,0),FALSE),"NA")</f>
        <v>GERENTE DE LOJA</v>
      </c>
      <c r="Z201" s="17" t="str">
        <f>IFERROR(VLOOKUP(Template!$M201,Template!$D$3:$G$619,MATCH("EmployeeGroup",Template!$D$2:$G$2,0),FALSE),"NA")</f>
        <v>GERENTE</v>
      </c>
      <c r="AA201" s="17" t="str">
        <f>IFERROR(VLOOKUP(Template!$M201,Template!$D$3:$V$619,MATCH("Layer",Template!$D$2:$V$2,0),FALSE),"NA")</f>
        <v>N3</v>
      </c>
      <c r="AB201" s="21">
        <f>VLOOKUP(Template!$M201,Template!$D$3:$F$619,MATCH("InternalGrade",Template!$D$2:$F$2,0),FALSE)-Template!$F201</f>
        <v>0</v>
      </c>
      <c r="AC201" s="17">
        <f>IF(Template!$AB201&lt;=1, 0.8,IF(Template!$AB201=2,0.4,IF(Template!$AB201=3,0.2,IF(Template!$AB201=4,0.1,IF(Template!$AB201&gt;=5,0.05,"erro")))))</f>
        <v>0.8</v>
      </c>
      <c r="AD201" s="17" t="b">
        <f>Template!$D201=Template!$M201</f>
        <v>0</v>
      </c>
      <c r="AE201" s="12" t="s">
        <v>58</v>
      </c>
    </row>
    <row r="202" ht="15.75" customHeight="1">
      <c r="A202" s="7" t="s">
        <v>190</v>
      </c>
      <c r="B202" s="7" t="s">
        <v>191</v>
      </c>
      <c r="C202" s="7" t="s">
        <v>214</v>
      </c>
      <c r="D202" s="13">
        <v>17317.0</v>
      </c>
      <c r="E202" s="7" t="s">
        <v>204</v>
      </c>
      <c r="F202" s="13"/>
      <c r="G202" s="14" t="s">
        <v>63</v>
      </c>
      <c r="H202" s="7" t="s">
        <v>64</v>
      </c>
      <c r="I202" s="7" t="s">
        <v>215</v>
      </c>
      <c r="J202" s="7" t="s">
        <v>70</v>
      </c>
      <c r="K202" s="15">
        <v>43437.0</v>
      </c>
      <c r="L202" s="15">
        <v>33488.0</v>
      </c>
      <c r="M202" s="13">
        <v>24037.0</v>
      </c>
      <c r="N202" s="7"/>
      <c r="O202" s="7"/>
      <c r="P202" s="7">
        <v>13.33</v>
      </c>
      <c r="Q202" s="7"/>
      <c r="R202" s="20"/>
      <c r="S202" s="7"/>
      <c r="T202" s="20"/>
      <c r="U202" s="16">
        <f>SUM(Template!$N202:$O202)*Template!$P202+Template!$Q202</f>
        <v>0</v>
      </c>
      <c r="V202" s="17" t="str">
        <f>IF(Template!$M202="CONSELHO","N",IF(Template!$AA202="N","N1",IF(Template!$AA202="N1","N2",IF(Template!$AA202="N2","N3",IF(Template!$AA202="N3","N4",IF(Template!$AA202="N4","N5",IF(Template!$AA202="N5","N6",IF(Template!$AA202="N6","N7",IF(Template!$AA202="N7","N8",IF(Template!$AA202="N8","N9",IF(Template!$AA202="N9","N10","NA")))))))))))</f>
        <v>N4</v>
      </c>
      <c r="W202" s="17">
        <f>COUNTIF(Template!$M$3:$M$619,Template!$D202)</f>
        <v>0</v>
      </c>
      <c r="X202" s="17" t="str">
        <f>IF(Template!$F202="","",SUMIF(Template!$M$3:$M$619,Template!$D202,Template!$AC$3:$AC$619))</f>
        <v/>
      </c>
      <c r="Y202" s="17" t="str">
        <f>IFERROR(VLOOKUP(Template!$M202,Template!$D$3:$G$619,MATCH("EmployeeJobTitle",Template!$D$2:$G$2,0),FALSE),"NA")</f>
        <v>GERENTE DE LOJA</v>
      </c>
      <c r="Z202" s="17" t="str">
        <f>IFERROR(VLOOKUP(Template!$M202,Template!$D$3:$G$619,MATCH("EmployeeGroup",Template!$D$2:$G$2,0),FALSE),"NA")</f>
        <v>GERENTE</v>
      </c>
      <c r="AA202" s="17" t="str">
        <f>IFERROR(VLOOKUP(Template!$M202,Template!$D$3:$V$619,MATCH("Layer",Template!$D$2:$V$2,0),FALSE),"NA")</f>
        <v>N3</v>
      </c>
      <c r="AB202" s="21">
        <f>VLOOKUP(Template!$M202,Template!$D$3:$F$619,MATCH("InternalGrade",Template!$D$2:$F$2,0),FALSE)-Template!$F202</f>
        <v>0</v>
      </c>
      <c r="AC202" s="17">
        <f>IF(Template!$AB202&lt;=1, 0.8,IF(Template!$AB202=2,0.4,IF(Template!$AB202=3,0.2,IF(Template!$AB202=4,0.1,IF(Template!$AB202&gt;=5,0.05,"erro")))))</f>
        <v>0.8</v>
      </c>
      <c r="AD202" s="17" t="b">
        <f>Template!$D202=Template!$M202</f>
        <v>0</v>
      </c>
      <c r="AE202" s="12" t="s">
        <v>58</v>
      </c>
    </row>
    <row r="203" ht="15.75" customHeight="1">
      <c r="A203" s="7" t="s">
        <v>190</v>
      </c>
      <c r="B203" s="7" t="s">
        <v>191</v>
      </c>
      <c r="C203" s="7" t="s">
        <v>214</v>
      </c>
      <c r="D203" s="13">
        <v>19381.0</v>
      </c>
      <c r="E203" s="7" t="s">
        <v>198</v>
      </c>
      <c r="F203" s="13"/>
      <c r="G203" s="14" t="s">
        <v>63</v>
      </c>
      <c r="H203" s="7" t="s">
        <v>64</v>
      </c>
      <c r="I203" s="7" t="s">
        <v>215</v>
      </c>
      <c r="J203" s="7" t="s">
        <v>70</v>
      </c>
      <c r="K203" s="15">
        <v>44239.0</v>
      </c>
      <c r="L203" s="15">
        <v>31096.0</v>
      </c>
      <c r="M203" s="13">
        <v>24037.0</v>
      </c>
      <c r="N203" s="7">
        <v>1809.0</v>
      </c>
      <c r="O203" s="7"/>
      <c r="P203" s="7">
        <v>13.33</v>
      </c>
      <c r="Q203" s="7"/>
      <c r="R203" s="20"/>
      <c r="S203" s="7"/>
      <c r="T203" s="20"/>
      <c r="U203" s="16">
        <f>SUM(Template!$N203:$O203)*Template!$P203+Template!$Q203</f>
        <v>24113.97</v>
      </c>
      <c r="V203" s="17" t="str">
        <f>IF(Template!$M203="CONSELHO","N",IF(Template!$AA203="N","N1",IF(Template!$AA203="N1","N2",IF(Template!$AA203="N2","N3",IF(Template!$AA203="N3","N4",IF(Template!$AA203="N4","N5",IF(Template!$AA203="N5","N6",IF(Template!$AA203="N6","N7",IF(Template!$AA203="N7","N8",IF(Template!$AA203="N8","N9",IF(Template!$AA203="N9","N10","NA")))))))))))</f>
        <v>N4</v>
      </c>
      <c r="W203" s="17">
        <f>COUNTIF(Template!$M$3:$M$619,Template!$D203)</f>
        <v>0</v>
      </c>
      <c r="X203" s="17" t="str">
        <f>IF(Template!$F203="","",SUMIF(Template!$M$3:$M$619,Template!$D203,Template!$AC$3:$AC$619))</f>
        <v/>
      </c>
      <c r="Y203" s="17" t="str">
        <f>IFERROR(VLOOKUP(Template!$M203,Template!$D$3:$G$619,MATCH("EmployeeJobTitle",Template!$D$2:$G$2,0),FALSE),"NA")</f>
        <v>GERENTE DE LOJA</v>
      </c>
      <c r="Z203" s="17" t="str">
        <f>IFERROR(VLOOKUP(Template!$M203,Template!$D$3:$G$619,MATCH("EmployeeGroup",Template!$D$2:$G$2,0),FALSE),"NA")</f>
        <v>GERENTE</v>
      </c>
      <c r="AA203" s="17" t="str">
        <f>IFERROR(VLOOKUP(Template!$M203,Template!$D$3:$V$619,MATCH("Layer",Template!$D$2:$V$2,0),FALSE),"NA")</f>
        <v>N3</v>
      </c>
      <c r="AB203" s="21">
        <f>VLOOKUP(Template!$M203,Template!$D$3:$F$619,MATCH("InternalGrade",Template!$D$2:$F$2,0),FALSE)-Template!$F203</f>
        <v>0</v>
      </c>
      <c r="AC203" s="17">
        <f>IF(Template!$AB203&lt;=1, 0.8,IF(Template!$AB203=2,0.4,IF(Template!$AB203=3,0.2,IF(Template!$AB203=4,0.1,IF(Template!$AB203&gt;=5,0.05,"erro")))))</f>
        <v>0.8</v>
      </c>
      <c r="AD203" s="17" t="b">
        <f>Template!$D203=Template!$M203</f>
        <v>0</v>
      </c>
      <c r="AE203" s="12" t="s">
        <v>58</v>
      </c>
    </row>
    <row r="204" ht="15.75" customHeight="1">
      <c r="A204" s="7" t="s">
        <v>190</v>
      </c>
      <c r="B204" s="7" t="s">
        <v>191</v>
      </c>
      <c r="C204" s="7" t="s">
        <v>214</v>
      </c>
      <c r="D204" s="13">
        <v>19698.0</v>
      </c>
      <c r="E204" s="7" t="s">
        <v>196</v>
      </c>
      <c r="F204" s="13"/>
      <c r="G204" s="14" t="s">
        <v>63</v>
      </c>
      <c r="H204" s="7" t="s">
        <v>64</v>
      </c>
      <c r="I204" s="7" t="s">
        <v>215</v>
      </c>
      <c r="J204" s="7" t="s">
        <v>70</v>
      </c>
      <c r="K204" s="15">
        <v>44396.0</v>
      </c>
      <c r="L204" s="15">
        <v>33565.0</v>
      </c>
      <c r="M204" s="13">
        <v>24037.0</v>
      </c>
      <c r="N204" s="7">
        <v>2027.0</v>
      </c>
      <c r="O204" s="7"/>
      <c r="P204" s="7">
        <v>13.33</v>
      </c>
      <c r="Q204" s="7"/>
      <c r="R204" s="20"/>
      <c r="S204" s="7"/>
      <c r="T204" s="20"/>
      <c r="U204" s="16">
        <f>SUM(Template!$N204:$O204)*Template!$P204+Template!$Q204</f>
        <v>27019.91</v>
      </c>
      <c r="V204" s="17" t="str">
        <f>IF(Template!$M204="CONSELHO","N",IF(Template!$AA204="N","N1",IF(Template!$AA204="N1","N2",IF(Template!$AA204="N2","N3",IF(Template!$AA204="N3","N4",IF(Template!$AA204="N4","N5",IF(Template!$AA204="N5","N6",IF(Template!$AA204="N6","N7",IF(Template!$AA204="N7","N8",IF(Template!$AA204="N8","N9",IF(Template!$AA204="N9","N10","NA")))))))))))</f>
        <v>N4</v>
      </c>
      <c r="W204" s="17">
        <f>COUNTIF(Template!$M$3:$M$619,Template!$D204)</f>
        <v>0</v>
      </c>
      <c r="X204" s="17" t="str">
        <f>IF(Template!$F204="","",SUMIF(Template!$M$3:$M$619,Template!$D204,Template!$AC$3:$AC$619))</f>
        <v/>
      </c>
      <c r="Y204" s="17" t="str">
        <f>IFERROR(VLOOKUP(Template!$M204,Template!$D$3:$G$619,MATCH("EmployeeJobTitle",Template!$D$2:$G$2,0),FALSE),"NA")</f>
        <v>GERENTE DE LOJA</v>
      </c>
      <c r="Z204" s="17" t="str">
        <f>IFERROR(VLOOKUP(Template!$M204,Template!$D$3:$G$619,MATCH("EmployeeGroup",Template!$D$2:$G$2,0),FALSE),"NA")</f>
        <v>GERENTE</v>
      </c>
      <c r="AA204" s="17" t="str">
        <f>IFERROR(VLOOKUP(Template!$M204,Template!$D$3:$V$619,MATCH("Layer",Template!$D$2:$V$2,0),FALSE),"NA")</f>
        <v>N3</v>
      </c>
      <c r="AB204" s="21">
        <f>VLOOKUP(Template!$M204,Template!$D$3:$F$619,MATCH("InternalGrade",Template!$D$2:$F$2,0),FALSE)-Template!$F204</f>
        <v>0</v>
      </c>
      <c r="AC204" s="17">
        <f>IF(Template!$AB204&lt;=1, 0.8,IF(Template!$AB204=2,0.4,IF(Template!$AB204=3,0.2,IF(Template!$AB204=4,0.1,IF(Template!$AB204&gt;=5,0.05,"erro")))))</f>
        <v>0.8</v>
      </c>
      <c r="AD204" s="17" t="b">
        <f>Template!$D204=Template!$M204</f>
        <v>0</v>
      </c>
      <c r="AE204" s="12" t="s">
        <v>58</v>
      </c>
    </row>
    <row r="205" ht="15.75" customHeight="1">
      <c r="A205" s="7" t="s">
        <v>190</v>
      </c>
      <c r="B205" s="7" t="s">
        <v>191</v>
      </c>
      <c r="C205" s="7" t="s">
        <v>214</v>
      </c>
      <c r="D205" s="13">
        <v>25416.0</v>
      </c>
      <c r="E205" s="7" t="s">
        <v>193</v>
      </c>
      <c r="F205" s="13"/>
      <c r="G205" s="14" t="s">
        <v>63</v>
      </c>
      <c r="H205" s="7" t="s">
        <v>64</v>
      </c>
      <c r="I205" s="7" t="s">
        <v>215</v>
      </c>
      <c r="J205" s="7" t="s">
        <v>70</v>
      </c>
      <c r="K205" s="15">
        <v>45566.0</v>
      </c>
      <c r="L205" s="15">
        <v>31878.0</v>
      </c>
      <c r="M205" s="13">
        <v>24037.0</v>
      </c>
      <c r="N205" s="7"/>
      <c r="O205" s="7"/>
      <c r="P205" s="7">
        <v>13.33</v>
      </c>
      <c r="Q205" s="7"/>
      <c r="R205" s="20"/>
      <c r="S205" s="7"/>
      <c r="T205" s="20"/>
      <c r="U205" s="16">
        <f>SUM(Template!$N205:$O205)*Template!$P205+Template!$Q205</f>
        <v>0</v>
      </c>
      <c r="V205" s="17" t="str">
        <f>IF(Template!$M205="CONSELHO","N",IF(Template!$AA205="N","N1",IF(Template!$AA205="N1","N2",IF(Template!$AA205="N2","N3",IF(Template!$AA205="N3","N4",IF(Template!$AA205="N4","N5",IF(Template!$AA205="N5","N6",IF(Template!$AA205="N6","N7",IF(Template!$AA205="N7","N8",IF(Template!$AA205="N8","N9",IF(Template!$AA205="N9","N10","NA")))))))))))</f>
        <v>N4</v>
      </c>
      <c r="W205" s="17">
        <f>COUNTIF(Template!$M$3:$M$619,Template!$D205)</f>
        <v>0</v>
      </c>
      <c r="X205" s="17" t="str">
        <f>IF(Template!$F205="","",SUMIF(Template!$M$3:$M$619,Template!$D205,Template!$AC$3:$AC$619))</f>
        <v/>
      </c>
      <c r="Y205" s="17" t="str">
        <f>IFERROR(VLOOKUP(Template!$M205,Template!$D$3:$G$619,MATCH("EmployeeJobTitle",Template!$D$2:$G$2,0),FALSE),"NA")</f>
        <v>GERENTE DE LOJA</v>
      </c>
      <c r="Z205" s="17" t="str">
        <f>IFERROR(VLOOKUP(Template!$M205,Template!$D$3:$G$619,MATCH("EmployeeGroup",Template!$D$2:$G$2,0),FALSE),"NA")</f>
        <v>GERENTE</v>
      </c>
      <c r="AA205" s="17" t="str">
        <f>IFERROR(VLOOKUP(Template!$M205,Template!$D$3:$V$619,MATCH("Layer",Template!$D$2:$V$2,0),FALSE),"NA")</f>
        <v>N3</v>
      </c>
      <c r="AB205" s="21">
        <f>VLOOKUP(Template!$M205,Template!$D$3:$F$619,MATCH("InternalGrade",Template!$D$2:$F$2,0),FALSE)-Template!$F205</f>
        <v>0</v>
      </c>
      <c r="AC205" s="17">
        <f>IF(Template!$AB205&lt;=1, 0.8,IF(Template!$AB205=2,0.4,IF(Template!$AB205=3,0.2,IF(Template!$AB205=4,0.1,IF(Template!$AB205&gt;=5,0.05,"erro")))))</f>
        <v>0.8</v>
      </c>
      <c r="AD205" s="17" t="b">
        <f>Template!$D205=Template!$M205</f>
        <v>0</v>
      </c>
      <c r="AE205" s="12" t="s">
        <v>58</v>
      </c>
    </row>
    <row r="206" ht="15.75" customHeight="1">
      <c r="A206" s="7" t="s">
        <v>190</v>
      </c>
      <c r="B206" s="7" t="s">
        <v>191</v>
      </c>
      <c r="C206" s="7" t="s">
        <v>214</v>
      </c>
      <c r="D206" s="13">
        <v>24037.0</v>
      </c>
      <c r="E206" s="7" t="s">
        <v>199</v>
      </c>
      <c r="F206" s="13"/>
      <c r="G206" s="22" t="s">
        <v>200</v>
      </c>
      <c r="H206" s="7" t="s">
        <v>64</v>
      </c>
      <c r="I206" s="7" t="s">
        <v>215</v>
      </c>
      <c r="J206" s="7" t="s">
        <v>70</v>
      </c>
      <c r="K206" s="15">
        <v>45068.0</v>
      </c>
      <c r="L206" s="15">
        <v>32796.0</v>
      </c>
      <c r="M206" s="13">
        <v>23256.0</v>
      </c>
      <c r="N206" s="7">
        <v>4050.0</v>
      </c>
      <c r="O206" s="7"/>
      <c r="P206" s="7">
        <v>13.33</v>
      </c>
      <c r="Q206" s="7"/>
      <c r="R206" s="20"/>
      <c r="S206" s="7"/>
      <c r="T206" s="20"/>
      <c r="U206" s="16">
        <f>SUM(Template!$N206:$O206)*Template!$P206+Template!$Q206</f>
        <v>53986.5</v>
      </c>
      <c r="V206" s="17" t="str">
        <f>IF(Template!$M206="CONSELHO","N",IF(Template!$AA206="N","N1",IF(Template!$AA206="N1","N2",IF(Template!$AA206="N2","N3",IF(Template!$AA206="N3","N4",IF(Template!$AA206="N4","N5",IF(Template!$AA206="N5","N6",IF(Template!$AA206="N6","N7",IF(Template!$AA206="N7","N8",IF(Template!$AA206="N8","N9",IF(Template!$AA206="N9","N10","NA")))))))))))</f>
        <v>N3</v>
      </c>
      <c r="W206" s="17">
        <f>COUNTIF(Template!$M$3:$M$619,Template!$D206)</f>
        <v>10</v>
      </c>
      <c r="X206" s="17" t="str">
        <f>IF(Template!$F206="","",SUMIF(Template!$M$3:$M$619,Template!$D206,Template!$AC$3:$AC$619))</f>
        <v/>
      </c>
      <c r="Y206" s="17" t="str">
        <f>IFERROR(VLOOKUP(Template!$M206,Template!$D$3:$G$619,MATCH("EmployeeJobTitle",Template!$D$2:$G$2,0),FALSE),"NA")</f>
        <v>GERENTE COMERCIAL</v>
      </c>
      <c r="Z206" s="17" t="str">
        <f>IFERROR(VLOOKUP(Template!$M206,Template!$D$3:$G$619,MATCH("EmployeeGroup",Template!$D$2:$G$2,0),FALSE),"NA")</f>
        <v>Coordenador</v>
      </c>
      <c r="AA206" s="17" t="str">
        <f>IFERROR(VLOOKUP(Template!$M206,Template!$D$3:$V$619,MATCH("Layer",Template!$D$2:$V$2,0),FALSE),"NA")</f>
        <v>N2</v>
      </c>
      <c r="AB206" s="21">
        <f>VLOOKUP(Template!$M206,Template!$D$3:$F$619,MATCH("InternalGrade",Template!$D$2:$F$2,0),FALSE)-Template!$F206</f>
        <v>19</v>
      </c>
      <c r="AC206" s="17">
        <f>IF(Template!$AB206&lt;=1, 0.8,IF(Template!$AB206=2,0.4,IF(Template!$AB206=3,0.2,IF(Template!$AB206=4,0.1,IF(Template!$AB206&gt;=5,0.05,"erro")))))</f>
        <v>0.05</v>
      </c>
      <c r="AD206" s="17" t="b">
        <f>Template!$D206=Template!$M206</f>
        <v>0</v>
      </c>
      <c r="AE206" s="12" t="s">
        <v>58</v>
      </c>
    </row>
    <row r="207" ht="15.75" customHeight="1">
      <c r="A207" s="7" t="s">
        <v>190</v>
      </c>
      <c r="B207" s="7" t="s">
        <v>191</v>
      </c>
      <c r="C207" s="7" t="s">
        <v>214</v>
      </c>
      <c r="D207" s="13">
        <v>24989.0</v>
      </c>
      <c r="E207" s="7" t="s">
        <v>193</v>
      </c>
      <c r="F207" s="13"/>
      <c r="G207" s="14" t="s">
        <v>63</v>
      </c>
      <c r="H207" s="7" t="s">
        <v>64</v>
      </c>
      <c r="I207" s="7" t="s">
        <v>215</v>
      </c>
      <c r="J207" s="7" t="s">
        <v>70</v>
      </c>
      <c r="K207" s="15">
        <v>45390.0</v>
      </c>
      <c r="L207" s="15">
        <v>35554.0</v>
      </c>
      <c r="M207" s="13">
        <v>24037.0</v>
      </c>
      <c r="N207" s="7"/>
      <c r="O207" s="7"/>
      <c r="P207" s="7">
        <v>13.33</v>
      </c>
      <c r="Q207" s="7"/>
      <c r="R207" s="20"/>
      <c r="S207" s="7"/>
      <c r="T207" s="20"/>
      <c r="U207" s="16">
        <f>SUM(Template!$N207:$O207)*Template!$P207+Template!$Q207</f>
        <v>0</v>
      </c>
      <c r="V207" s="17" t="str">
        <f>IF(Template!$M207="CONSELHO","N",IF(Template!$AA207="N","N1",IF(Template!$AA207="N1","N2",IF(Template!$AA207="N2","N3",IF(Template!$AA207="N3","N4",IF(Template!$AA207="N4","N5",IF(Template!$AA207="N5","N6",IF(Template!$AA207="N6","N7",IF(Template!$AA207="N7","N8",IF(Template!$AA207="N8","N9",IF(Template!$AA207="N9","N10","NA")))))))))))</f>
        <v>N4</v>
      </c>
      <c r="W207" s="17">
        <f>COUNTIF(Template!$M$3:$M$619,Template!$D207)</f>
        <v>0</v>
      </c>
      <c r="X207" s="17" t="str">
        <f>IF(Template!$F207="","",SUMIF(Template!$M$3:$M$619,Template!$D207,Template!$AC$3:$AC$619))</f>
        <v/>
      </c>
      <c r="Y207" s="17" t="str">
        <f>IFERROR(VLOOKUP(Template!$M207,Template!$D$3:$G$619,MATCH("EmployeeJobTitle",Template!$D$2:$G$2,0),FALSE),"NA")</f>
        <v>GERENTE DE LOJA</v>
      </c>
      <c r="Z207" s="17" t="str">
        <f>IFERROR(VLOOKUP(Template!$M207,Template!$D$3:$G$619,MATCH("EmployeeGroup",Template!$D$2:$G$2,0),FALSE),"NA")</f>
        <v>GERENTE</v>
      </c>
      <c r="AA207" s="17" t="str">
        <f>IFERROR(VLOOKUP(Template!$M207,Template!$D$3:$V$619,MATCH("Layer",Template!$D$2:$V$2,0),FALSE),"NA")</f>
        <v>N3</v>
      </c>
      <c r="AB207" s="21">
        <f>VLOOKUP(Template!$M207,Template!$D$3:$F$619,MATCH("InternalGrade",Template!$D$2:$F$2,0),FALSE)-Template!$F207</f>
        <v>0</v>
      </c>
      <c r="AC207" s="17">
        <f>IF(Template!$AB207&lt;=1, 0.8,IF(Template!$AB207=2,0.4,IF(Template!$AB207=3,0.2,IF(Template!$AB207=4,0.1,IF(Template!$AB207&gt;=5,0.05,"erro")))))</f>
        <v>0.8</v>
      </c>
      <c r="AD207" s="17" t="b">
        <f>Template!$D207=Template!$M207</f>
        <v>0</v>
      </c>
      <c r="AE207" s="12" t="s">
        <v>58</v>
      </c>
    </row>
    <row r="208" ht="15.75" customHeight="1">
      <c r="A208" s="7" t="s">
        <v>190</v>
      </c>
      <c r="B208" s="7" t="s">
        <v>191</v>
      </c>
      <c r="C208" s="7" t="s">
        <v>214</v>
      </c>
      <c r="D208" s="13">
        <v>16927.0</v>
      </c>
      <c r="E208" s="7" t="s">
        <v>193</v>
      </c>
      <c r="F208" s="13"/>
      <c r="G208" s="14" t="s">
        <v>63</v>
      </c>
      <c r="H208" s="7" t="s">
        <v>64</v>
      </c>
      <c r="I208" s="7" t="s">
        <v>215</v>
      </c>
      <c r="J208" s="7" t="s">
        <v>70</v>
      </c>
      <c r="K208" s="15">
        <v>43286.0</v>
      </c>
      <c r="L208" s="15">
        <v>31762.0</v>
      </c>
      <c r="M208" s="13">
        <v>24037.0</v>
      </c>
      <c r="N208" s="7"/>
      <c r="O208" s="7"/>
      <c r="P208" s="7">
        <v>13.33</v>
      </c>
      <c r="Q208" s="7"/>
      <c r="R208" s="20"/>
      <c r="S208" s="7"/>
      <c r="T208" s="20"/>
      <c r="U208" s="16">
        <f>SUM(Template!$N208:$O208)*Template!$P208+Template!$Q208</f>
        <v>0</v>
      </c>
      <c r="V208" s="17" t="str">
        <f>IF(Template!$M208="CONSELHO","N",IF(Template!$AA208="N","N1",IF(Template!$AA208="N1","N2",IF(Template!$AA208="N2","N3",IF(Template!$AA208="N3","N4",IF(Template!$AA208="N4","N5",IF(Template!$AA208="N5","N6",IF(Template!$AA208="N6","N7",IF(Template!$AA208="N7","N8",IF(Template!$AA208="N8","N9",IF(Template!$AA208="N9","N10","NA")))))))))))</f>
        <v>N4</v>
      </c>
      <c r="W208" s="17">
        <f>COUNTIF(Template!$M$3:$M$619,Template!$D208)</f>
        <v>0</v>
      </c>
      <c r="X208" s="17" t="str">
        <f>IF(Template!$F208="","",SUMIF(Template!$M$3:$M$619,Template!$D208,Template!$AC$3:$AC$619))</f>
        <v/>
      </c>
      <c r="Y208" s="17" t="str">
        <f>IFERROR(VLOOKUP(Template!$M208,Template!$D$3:$G$619,MATCH("EmployeeJobTitle",Template!$D$2:$G$2,0),FALSE),"NA")</f>
        <v>GERENTE DE LOJA</v>
      </c>
      <c r="Z208" s="17" t="str">
        <f>IFERROR(VLOOKUP(Template!$M208,Template!$D$3:$G$619,MATCH("EmployeeGroup",Template!$D$2:$G$2,0),FALSE),"NA")</f>
        <v>GERENTE</v>
      </c>
      <c r="AA208" s="17" t="str">
        <f>IFERROR(VLOOKUP(Template!$M208,Template!$D$3:$V$619,MATCH("Layer",Template!$D$2:$V$2,0),FALSE),"NA")</f>
        <v>N3</v>
      </c>
      <c r="AB208" s="21">
        <f>VLOOKUP(Template!$M208,Template!$D$3:$F$619,MATCH("InternalGrade",Template!$D$2:$F$2,0),FALSE)-Template!$F208</f>
        <v>0</v>
      </c>
      <c r="AC208" s="17">
        <f>IF(Template!$AB208&lt;=1, 0.8,IF(Template!$AB208=2,0.4,IF(Template!$AB208=3,0.2,IF(Template!$AB208=4,0.1,IF(Template!$AB208&gt;=5,0.05,"erro")))))</f>
        <v>0.8</v>
      </c>
      <c r="AD208" s="17" t="b">
        <f>Template!$D208=Template!$M208</f>
        <v>0</v>
      </c>
      <c r="AE208" s="12" t="s">
        <v>58</v>
      </c>
    </row>
    <row r="209" ht="15.75" customHeight="1">
      <c r="A209" s="7" t="s">
        <v>190</v>
      </c>
      <c r="B209" s="7" t="s">
        <v>209</v>
      </c>
      <c r="C209" s="7" t="s">
        <v>216</v>
      </c>
      <c r="D209" s="13">
        <v>24867.0</v>
      </c>
      <c r="E209" s="7" t="s">
        <v>193</v>
      </c>
      <c r="F209" s="13"/>
      <c r="G209" s="14" t="s">
        <v>63</v>
      </c>
      <c r="H209" s="7" t="s">
        <v>64</v>
      </c>
      <c r="I209" s="7" t="s">
        <v>65</v>
      </c>
      <c r="J209" s="7" t="s">
        <v>70</v>
      </c>
      <c r="K209" s="15">
        <v>45334.0</v>
      </c>
      <c r="L209" s="15">
        <v>38060.0</v>
      </c>
      <c r="M209" s="13">
        <v>11482.0</v>
      </c>
      <c r="N209" s="7"/>
      <c r="O209" s="7"/>
      <c r="P209" s="7">
        <v>13.33</v>
      </c>
      <c r="Q209" s="7"/>
      <c r="R209" s="20"/>
      <c r="S209" s="7"/>
      <c r="T209" s="20"/>
      <c r="U209" s="16">
        <f>SUM(Template!$N209:$O209)*Template!$P209+Template!$Q209</f>
        <v>0</v>
      </c>
      <c r="V209" s="17" t="str">
        <f>IF(Template!$M209="CONSELHO","N",IF(Template!$AA209="N","N1",IF(Template!$AA209="N1","N2",IF(Template!$AA209="N2","N3",IF(Template!$AA209="N3","N4",IF(Template!$AA209="N4","N5",IF(Template!$AA209="N5","N6",IF(Template!$AA209="N6","N7",IF(Template!$AA209="N7","N8",IF(Template!$AA209="N8","N9",IF(Template!$AA209="N9","N10","NA")))))))))))</f>
        <v>N4</v>
      </c>
      <c r="W209" s="17">
        <f>COUNTIF(Template!$M$3:$M$619,Template!$D209)</f>
        <v>0</v>
      </c>
      <c r="X209" s="17" t="str">
        <f>IF(Template!$F209="","",SUMIF(Template!$M$3:$M$619,Template!$D209,Template!$AC$3:$AC$619))</f>
        <v/>
      </c>
      <c r="Y209" s="17" t="str">
        <f>IFERROR(VLOOKUP(Template!$M209,Template!$D$3:$G$619,MATCH("EmployeeJobTitle",Template!$D$2:$G$2,0),FALSE),"NA")</f>
        <v>GERENTE DE LOJA</v>
      </c>
      <c r="Z209" s="17" t="str">
        <f>IFERROR(VLOOKUP(Template!$M209,Template!$D$3:$G$619,MATCH("EmployeeGroup",Template!$D$2:$G$2,0),FALSE),"NA")</f>
        <v>GERENTE</v>
      </c>
      <c r="AA209" s="17" t="str">
        <f>IFERROR(VLOOKUP(Template!$M209,Template!$D$3:$V$619,MATCH("Layer",Template!$D$2:$V$2,0),FALSE),"NA")</f>
        <v>N3</v>
      </c>
      <c r="AB209" s="21">
        <f>VLOOKUP(Template!$M209,Template!$D$3:$F$619,MATCH("InternalGrade",Template!$D$2:$F$2,0),FALSE)-Template!$F209</f>
        <v>0</v>
      </c>
      <c r="AC209" s="17">
        <f>IF(Template!$AB209&lt;=1, 0.8,IF(Template!$AB209=2,0.4,IF(Template!$AB209=3,0.2,IF(Template!$AB209=4,0.1,IF(Template!$AB209&gt;=5,0.05,"erro")))))</f>
        <v>0.8</v>
      </c>
      <c r="AD209" s="17" t="b">
        <f>Template!$D209=Template!$M209</f>
        <v>0</v>
      </c>
      <c r="AE209" s="12" t="s">
        <v>58</v>
      </c>
    </row>
    <row r="210" ht="15.75" customHeight="1">
      <c r="A210" s="7" t="s">
        <v>190</v>
      </c>
      <c r="B210" s="7" t="s">
        <v>209</v>
      </c>
      <c r="C210" s="7" t="s">
        <v>216</v>
      </c>
      <c r="D210" s="13">
        <v>24188.0</v>
      </c>
      <c r="E210" s="7" t="s">
        <v>193</v>
      </c>
      <c r="F210" s="13"/>
      <c r="G210" s="14" t="s">
        <v>63</v>
      </c>
      <c r="H210" s="7" t="s">
        <v>64</v>
      </c>
      <c r="I210" s="7" t="s">
        <v>65</v>
      </c>
      <c r="J210" s="7" t="s">
        <v>70</v>
      </c>
      <c r="K210" s="15">
        <v>45139.0</v>
      </c>
      <c r="L210" s="15">
        <v>32853.0</v>
      </c>
      <c r="M210" s="13">
        <v>11482.0</v>
      </c>
      <c r="N210" s="7"/>
      <c r="O210" s="7"/>
      <c r="P210" s="7">
        <v>13.33</v>
      </c>
      <c r="Q210" s="7"/>
      <c r="R210" s="20"/>
      <c r="S210" s="7"/>
      <c r="T210" s="20"/>
      <c r="U210" s="16">
        <f>SUM(Template!$N210:$O210)*Template!$P210+Template!$Q210</f>
        <v>0</v>
      </c>
      <c r="V210" s="17" t="str">
        <f>IF(Template!$M210="CONSELHO","N",IF(Template!$AA210="N","N1",IF(Template!$AA210="N1","N2",IF(Template!$AA210="N2","N3",IF(Template!$AA210="N3","N4",IF(Template!$AA210="N4","N5",IF(Template!$AA210="N5","N6",IF(Template!$AA210="N6","N7",IF(Template!$AA210="N7","N8",IF(Template!$AA210="N8","N9",IF(Template!$AA210="N9","N10","NA")))))))))))</f>
        <v>N4</v>
      </c>
      <c r="W210" s="17">
        <f>COUNTIF(Template!$M$3:$M$619,Template!$D210)</f>
        <v>0</v>
      </c>
      <c r="X210" s="17" t="str">
        <f>IF(Template!$F210="","",SUMIF(Template!$M$3:$M$619,Template!$D210,Template!$AC$3:$AC$619))</f>
        <v/>
      </c>
      <c r="Y210" s="17" t="str">
        <f>IFERROR(VLOOKUP(Template!$M210,Template!$D$3:$G$619,MATCH("EmployeeJobTitle",Template!$D$2:$G$2,0),FALSE),"NA")</f>
        <v>GERENTE DE LOJA</v>
      </c>
      <c r="Z210" s="17" t="str">
        <f>IFERROR(VLOOKUP(Template!$M210,Template!$D$3:$G$619,MATCH("EmployeeGroup",Template!$D$2:$G$2,0),FALSE),"NA")</f>
        <v>GERENTE</v>
      </c>
      <c r="AA210" s="17" t="str">
        <f>IFERROR(VLOOKUP(Template!$M210,Template!$D$3:$V$619,MATCH("Layer",Template!$D$2:$V$2,0),FALSE),"NA")</f>
        <v>N3</v>
      </c>
      <c r="AB210" s="21">
        <f>VLOOKUP(Template!$M210,Template!$D$3:$F$619,MATCH("InternalGrade",Template!$D$2:$F$2,0),FALSE)-Template!$F210</f>
        <v>0</v>
      </c>
      <c r="AC210" s="17">
        <f>IF(Template!$AB210&lt;=1, 0.8,IF(Template!$AB210=2,0.4,IF(Template!$AB210=3,0.2,IF(Template!$AB210=4,0.1,IF(Template!$AB210&gt;=5,0.05,"erro")))))</f>
        <v>0.8</v>
      </c>
      <c r="AD210" s="17" t="b">
        <f>Template!$D210=Template!$M210</f>
        <v>0</v>
      </c>
      <c r="AE210" s="12" t="s">
        <v>58</v>
      </c>
    </row>
    <row r="211" ht="15.75" customHeight="1">
      <c r="A211" s="7" t="s">
        <v>190</v>
      </c>
      <c r="B211" s="7" t="s">
        <v>209</v>
      </c>
      <c r="C211" s="7" t="s">
        <v>216</v>
      </c>
      <c r="D211" s="13">
        <v>22575.0</v>
      </c>
      <c r="E211" s="7" t="s">
        <v>193</v>
      </c>
      <c r="F211" s="13"/>
      <c r="G211" s="14" t="s">
        <v>63</v>
      </c>
      <c r="H211" s="7" t="s">
        <v>64</v>
      </c>
      <c r="I211" s="7" t="s">
        <v>65</v>
      </c>
      <c r="J211" s="7" t="s">
        <v>70</v>
      </c>
      <c r="K211" s="15">
        <v>44882.0</v>
      </c>
      <c r="L211" s="15">
        <v>31675.0</v>
      </c>
      <c r="M211" s="13">
        <v>11482.0</v>
      </c>
      <c r="N211" s="7"/>
      <c r="O211" s="7"/>
      <c r="P211" s="7">
        <v>13.33</v>
      </c>
      <c r="Q211" s="7"/>
      <c r="R211" s="20"/>
      <c r="S211" s="7"/>
      <c r="T211" s="20"/>
      <c r="U211" s="16">
        <f>SUM(Template!$N211:$O211)*Template!$P211+Template!$Q211</f>
        <v>0</v>
      </c>
      <c r="V211" s="17" t="str">
        <f>IF(Template!$M211="CONSELHO","N",IF(Template!$AA211="N","N1",IF(Template!$AA211="N1","N2",IF(Template!$AA211="N2","N3",IF(Template!$AA211="N3","N4",IF(Template!$AA211="N4","N5",IF(Template!$AA211="N5","N6",IF(Template!$AA211="N6","N7",IF(Template!$AA211="N7","N8",IF(Template!$AA211="N8","N9",IF(Template!$AA211="N9","N10","NA")))))))))))</f>
        <v>N4</v>
      </c>
      <c r="W211" s="17">
        <f>COUNTIF(Template!$M$3:$M$619,Template!$D211)</f>
        <v>0</v>
      </c>
      <c r="X211" s="17" t="str">
        <f>IF(Template!$F211="","",SUMIF(Template!$M$3:$M$619,Template!$D211,Template!$AC$3:$AC$619))</f>
        <v/>
      </c>
      <c r="Y211" s="17" t="str">
        <f>IFERROR(VLOOKUP(Template!$M211,Template!$D$3:$G$619,MATCH("EmployeeJobTitle",Template!$D$2:$G$2,0),FALSE),"NA")</f>
        <v>GERENTE DE LOJA</v>
      </c>
      <c r="Z211" s="17" t="str">
        <f>IFERROR(VLOOKUP(Template!$M211,Template!$D$3:$G$619,MATCH("EmployeeGroup",Template!$D$2:$G$2,0),FALSE),"NA")</f>
        <v>GERENTE</v>
      </c>
      <c r="AA211" s="17" t="str">
        <f>IFERROR(VLOOKUP(Template!$M211,Template!$D$3:$V$619,MATCH("Layer",Template!$D$2:$V$2,0),FALSE),"NA")</f>
        <v>N3</v>
      </c>
      <c r="AB211" s="21">
        <f>VLOOKUP(Template!$M211,Template!$D$3:$F$619,MATCH("InternalGrade",Template!$D$2:$F$2,0),FALSE)-Template!$F211</f>
        <v>0</v>
      </c>
      <c r="AC211" s="17">
        <f>IF(Template!$AB211&lt;=1, 0.8,IF(Template!$AB211=2,0.4,IF(Template!$AB211=3,0.2,IF(Template!$AB211=4,0.1,IF(Template!$AB211&gt;=5,0.05,"erro")))))</f>
        <v>0.8</v>
      </c>
      <c r="AD211" s="17" t="b">
        <f>Template!$D211=Template!$M211</f>
        <v>0</v>
      </c>
      <c r="AE211" s="12" t="s">
        <v>58</v>
      </c>
    </row>
    <row r="212" ht="15.75" customHeight="1">
      <c r="A212" s="7" t="s">
        <v>190</v>
      </c>
      <c r="B212" s="7" t="s">
        <v>209</v>
      </c>
      <c r="C212" s="7" t="s">
        <v>216</v>
      </c>
      <c r="D212" s="13">
        <v>25362.0</v>
      </c>
      <c r="E212" s="7" t="s">
        <v>198</v>
      </c>
      <c r="F212" s="13"/>
      <c r="G212" s="14" t="s">
        <v>63</v>
      </c>
      <c r="H212" s="7" t="s">
        <v>64</v>
      </c>
      <c r="I212" s="7" t="s">
        <v>65</v>
      </c>
      <c r="J212" s="7" t="s">
        <v>70</v>
      </c>
      <c r="K212" s="15">
        <v>45544.0</v>
      </c>
      <c r="L212" s="15">
        <v>29159.0</v>
      </c>
      <c r="M212" s="13">
        <v>11482.0</v>
      </c>
      <c r="N212" s="7">
        <v>1700.0</v>
      </c>
      <c r="O212" s="7"/>
      <c r="P212" s="7">
        <v>13.33</v>
      </c>
      <c r="Q212" s="7"/>
      <c r="R212" s="20"/>
      <c r="S212" s="7"/>
      <c r="T212" s="20"/>
      <c r="U212" s="16">
        <f>SUM(Template!$N212:$O212)*Template!$P212+Template!$Q212</f>
        <v>22661</v>
      </c>
      <c r="V212" s="17" t="str">
        <f>IF(Template!$M212="CONSELHO","N",IF(Template!$AA212="N","N1",IF(Template!$AA212="N1","N2",IF(Template!$AA212="N2","N3",IF(Template!$AA212="N3","N4",IF(Template!$AA212="N4","N5",IF(Template!$AA212="N5","N6",IF(Template!$AA212="N6","N7",IF(Template!$AA212="N7","N8",IF(Template!$AA212="N8","N9",IF(Template!$AA212="N9","N10","NA")))))))))))</f>
        <v>N4</v>
      </c>
      <c r="W212" s="17">
        <f>COUNTIF(Template!$M$3:$M$619,Template!$D212)</f>
        <v>0</v>
      </c>
      <c r="X212" s="17" t="str">
        <f>IF(Template!$F212="","",SUMIF(Template!$M$3:$M$619,Template!$D212,Template!$AC$3:$AC$619))</f>
        <v/>
      </c>
      <c r="Y212" s="17" t="str">
        <f>IFERROR(VLOOKUP(Template!$M212,Template!$D$3:$G$619,MATCH("EmployeeJobTitle",Template!$D$2:$G$2,0),FALSE),"NA")</f>
        <v>GERENTE DE LOJA</v>
      </c>
      <c r="Z212" s="17" t="str">
        <f>IFERROR(VLOOKUP(Template!$M212,Template!$D$3:$G$619,MATCH("EmployeeGroup",Template!$D$2:$G$2,0),FALSE),"NA")</f>
        <v>GERENTE</v>
      </c>
      <c r="AA212" s="17" t="str">
        <f>IFERROR(VLOOKUP(Template!$M212,Template!$D$3:$V$619,MATCH("Layer",Template!$D$2:$V$2,0),FALSE),"NA")</f>
        <v>N3</v>
      </c>
      <c r="AB212" s="21">
        <f>VLOOKUP(Template!$M212,Template!$D$3:$F$619,MATCH("InternalGrade",Template!$D$2:$F$2,0),FALSE)-Template!$F212</f>
        <v>0</v>
      </c>
      <c r="AC212" s="17">
        <f>IF(Template!$AB212&lt;=1, 0.8,IF(Template!$AB212=2,0.4,IF(Template!$AB212=3,0.2,IF(Template!$AB212=4,0.1,IF(Template!$AB212&gt;=5,0.05,"erro")))))</f>
        <v>0.8</v>
      </c>
      <c r="AD212" s="17" t="b">
        <f>Template!$D212=Template!$M212</f>
        <v>0</v>
      </c>
      <c r="AE212" s="12" t="s">
        <v>58</v>
      </c>
    </row>
    <row r="213" ht="15.75" customHeight="1">
      <c r="A213" s="7" t="s">
        <v>190</v>
      </c>
      <c r="B213" s="7" t="s">
        <v>209</v>
      </c>
      <c r="C213" s="7" t="s">
        <v>216</v>
      </c>
      <c r="D213" s="13">
        <v>17988.0</v>
      </c>
      <c r="E213" s="7" t="s">
        <v>193</v>
      </c>
      <c r="F213" s="13"/>
      <c r="G213" s="14" t="s">
        <v>63</v>
      </c>
      <c r="H213" s="7" t="s">
        <v>64</v>
      </c>
      <c r="I213" s="7" t="s">
        <v>65</v>
      </c>
      <c r="J213" s="7" t="s">
        <v>70</v>
      </c>
      <c r="K213" s="15">
        <v>43787.0</v>
      </c>
      <c r="L213" s="15">
        <v>27787.0</v>
      </c>
      <c r="M213" s="13">
        <v>11482.0</v>
      </c>
      <c r="N213" s="7"/>
      <c r="O213" s="7"/>
      <c r="P213" s="7">
        <v>13.33</v>
      </c>
      <c r="Q213" s="7"/>
      <c r="R213" s="20"/>
      <c r="S213" s="7"/>
      <c r="T213" s="20"/>
      <c r="U213" s="16">
        <f>SUM(Template!$N213:$O213)*Template!$P213+Template!$Q213</f>
        <v>0</v>
      </c>
      <c r="V213" s="17" t="str">
        <f>IF(Template!$M213="CONSELHO","N",IF(Template!$AA213="N","N1",IF(Template!$AA213="N1","N2",IF(Template!$AA213="N2","N3",IF(Template!$AA213="N3","N4",IF(Template!$AA213="N4","N5",IF(Template!$AA213="N5","N6",IF(Template!$AA213="N6","N7",IF(Template!$AA213="N7","N8",IF(Template!$AA213="N8","N9",IF(Template!$AA213="N9","N10","NA")))))))))))</f>
        <v>N4</v>
      </c>
      <c r="W213" s="17">
        <f>COUNTIF(Template!$M$3:$M$619,Template!$D213)</f>
        <v>0</v>
      </c>
      <c r="X213" s="17" t="str">
        <f>IF(Template!$F213="","",SUMIF(Template!$M$3:$M$619,Template!$D213,Template!$AC$3:$AC$619))</f>
        <v/>
      </c>
      <c r="Y213" s="17" t="str">
        <f>IFERROR(VLOOKUP(Template!$M213,Template!$D$3:$G$619,MATCH("EmployeeJobTitle",Template!$D$2:$G$2,0),FALSE),"NA")</f>
        <v>GERENTE DE LOJA</v>
      </c>
      <c r="Z213" s="17" t="str">
        <f>IFERROR(VLOOKUP(Template!$M213,Template!$D$3:$G$619,MATCH("EmployeeGroup",Template!$D$2:$G$2,0),FALSE),"NA")</f>
        <v>GERENTE</v>
      </c>
      <c r="AA213" s="17" t="str">
        <f>IFERROR(VLOOKUP(Template!$M213,Template!$D$3:$V$619,MATCH("Layer",Template!$D$2:$V$2,0),FALSE),"NA")</f>
        <v>N3</v>
      </c>
      <c r="AB213" s="21">
        <f>VLOOKUP(Template!$M213,Template!$D$3:$F$619,MATCH("InternalGrade",Template!$D$2:$F$2,0),FALSE)-Template!$F213</f>
        <v>0</v>
      </c>
      <c r="AC213" s="17">
        <f>IF(Template!$AB213&lt;=1, 0.8,IF(Template!$AB213=2,0.4,IF(Template!$AB213=3,0.2,IF(Template!$AB213=4,0.1,IF(Template!$AB213&gt;=5,0.05,"erro")))))</f>
        <v>0.8</v>
      </c>
      <c r="AD213" s="17" t="b">
        <f>Template!$D213=Template!$M213</f>
        <v>0</v>
      </c>
      <c r="AE213" s="12" t="s">
        <v>58</v>
      </c>
    </row>
    <row r="214" ht="15.75" customHeight="1">
      <c r="A214" s="7" t="s">
        <v>190</v>
      </c>
      <c r="B214" s="7" t="s">
        <v>209</v>
      </c>
      <c r="C214" s="7" t="s">
        <v>216</v>
      </c>
      <c r="D214" s="13">
        <v>25312.0</v>
      </c>
      <c r="E214" s="7" t="s">
        <v>193</v>
      </c>
      <c r="F214" s="13"/>
      <c r="G214" s="14" t="s">
        <v>63</v>
      </c>
      <c r="H214" s="7" t="s">
        <v>64</v>
      </c>
      <c r="I214" s="7" t="s">
        <v>65</v>
      </c>
      <c r="J214" s="7" t="s">
        <v>70</v>
      </c>
      <c r="K214" s="15">
        <v>45516.0</v>
      </c>
      <c r="L214" s="15">
        <v>36378.0</v>
      </c>
      <c r="M214" s="13">
        <v>11482.0</v>
      </c>
      <c r="N214" s="7"/>
      <c r="O214" s="7"/>
      <c r="P214" s="7">
        <v>13.33</v>
      </c>
      <c r="Q214" s="7"/>
      <c r="R214" s="20"/>
      <c r="S214" s="7"/>
      <c r="T214" s="20"/>
      <c r="U214" s="16">
        <f>SUM(Template!$N214:$O214)*Template!$P214+Template!$Q214</f>
        <v>0</v>
      </c>
      <c r="V214" s="17" t="str">
        <f>IF(Template!$M214="CONSELHO","N",IF(Template!$AA214="N","N1",IF(Template!$AA214="N1","N2",IF(Template!$AA214="N2","N3",IF(Template!$AA214="N3","N4",IF(Template!$AA214="N4","N5",IF(Template!$AA214="N5","N6",IF(Template!$AA214="N6","N7",IF(Template!$AA214="N7","N8",IF(Template!$AA214="N8","N9",IF(Template!$AA214="N9","N10","NA")))))))))))</f>
        <v>N4</v>
      </c>
      <c r="W214" s="17">
        <f>COUNTIF(Template!$M$3:$M$619,Template!$D214)</f>
        <v>0</v>
      </c>
      <c r="X214" s="17" t="str">
        <f>IF(Template!$F214="","",SUMIF(Template!$M$3:$M$619,Template!$D214,Template!$AC$3:$AC$619))</f>
        <v/>
      </c>
      <c r="Y214" s="17" t="str">
        <f>IFERROR(VLOOKUP(Template!$M214,Template!$D$3:$G$619,MATCH("EmployeeJobTitle",Template!$D$2:$G$2,0),FALSE),"NA")</f>
        <v>GERENTE DE LOJA</v>
      </c>
      <c r="Z214" s="17" t="str">
        <f>IFERROR(VLOOKUP(Template!$M214,Template!$D$3:$G$619,MATCH("EmployeeGroup",Template!$D$2:$G$2,0),FALSE),"NA")</f>
        <v>GERENTE</v>
      </c>
      <c r="AA214" s="17" t="str">
        <f>IFERROR(VLOOKUP(Template!$M214,Template!$D$3:$V$619,MATCH("Layer",Template!$D$2:$V$2,0),FALSE),"NA")</f>
        <v>N3</v>
      </c>
      <c r="AB214" s="21">
        <f>VLOOKUP(Template!$M214,Template!$D$3:$F$619,MATCH("InternalGrade",Template!$D$2:$F$2,0),FALSE)-Template!$F214</f>
        <v>0</v>
      </c>
      <c r="AC214" s="17">
        <f>IF(Template!$AB214&lt;=1, 0.8,IF(Template!$AB214=2,0.4,IF(Template!$AB214=3,0.2,IF(Template!$AB214=4,0.1,IF(Template!$AB214&gt;=5,0.05,"erro")))))</f>
        <v>0.8</v>
      </c>
      <c r="AD214" s="17" t="b">
        <f>Template!$D214=Template!$M214</f>
        <v>0</v>
      </c>
      <c r="AE214" s="12" t="s">
        <v>58</v>
      </c>
    </row>
    <row r="215" ht="15.75" customHeight="1">
      <c r="A215" s="7" t="s">
        <v>190</v>
      </c>
      <c r="B215" s="7" t="s">
        <v>209</v>
      </c>
      <c r="C215" s="7" t="s">
        <v>216</v>
      </c>
      <c r="D215" s="13">
        <v>25094.0</v>
      </c>
      <c r="E215" s="7" t="s">
        <v>203</v>
      </c>
      <c r="F215" s="13"/>
      <c r="G215" s="14" t="s">
        <v>63</v>
      </c>
      <c r="H215" s="7" t="s">
        <v>64</v>
      </c>
      <c r="I215" s="7" t="s">
        <v>65</v>
      </c>
      <c r="J215" s="7" t="s">
        <v>70</v>
      </c>
      <c r="K215" s="15">
        <v>45446.0</v>
      </c>
      <c r="L215" s="15">
        <v>33928.0</v>
      </c>
      <c r="M215" s="13">
        <v>11482.0</v>
      </c>
      <c r="N215" s="7"/>
      <c r="O215" s="7"/>
      <c r="P215" s="7">
        <v>13.33</v>
      </c>
      <c r="Q215" s="7"/>
      <c r="R215" s="20"/>
      <c r="S215" s="7"/>
      <c r="T215" s="20"/>
      <c r="U215" s="16">
        <f>SUM(Template!$N215:$O215)*Template!$P215+Template!$Q215</f>
        <v>0</v>
      </c>
      <c r="V215" s="17" t="str">
        <f>IF(Template!$M215="CONSELHO","N",IF(Template!$AA215="N","N1",IF(Template!$AA215="N1","N2",IF(Template!$AA215="N2","N3",IF(Template!$AA215="N3","N4",IF(Template!$AA215="N4","N5",IF(Template!$AA215="N5","N6",IF(Template!$AA215="N6","N7",IF(Template!$AA215="N7","N8",IF(Template!$AA215="N8","N9",IF(Template!$AA215="N9","N10","NA")))))))))))</f>
        <v>N4</v>
      </c>
      <c r="W215" s="17">
        <f>COUNTIF(Template!$M$3:$M$619,Template!$D215)</f>
        <v>0</v>
      </c>
      <c r="X215" s="17" t="str">
        <f>IF(Template!$F215="","",SUMIF(Template!$M$3:$M$619,Template!$D215,Template!$AC$3:$AC$619))</f>
        <v/>
      </c>
      <c r="Y215" s="17" t="str">
        <f>IFERROR(VLOOKUP(Template!$M215,Template!$D$3:$G$619,MATCH("EmployeeJobTitle",Template!$D$2:$G$2,0),FALSE),"NA")</f>
        <v>GERENTE DE LOJA</v>
      </c>
      <c r="Z215" s="17" t="str">
        <f>IFERROR(VLOOKUP(Template!$M215,Template!$D$3:$G$619,MATCH("EmployeeGroup",Template!$D$2:$G$2,0),FALSE),"NA")</f>
        <v>GERENTE</v>
      </c>
      <c r="AA215" s="17" t="str">
        <f>IFERROR(VLOOKUP(Template!$M215,Template!$D$3:$V$619,MATCH("Layer",Template!$D$2:$V$2,0),FALSE),"NA")</f>
        <v>N3</v>
      </c>
      <c r="AB215" s="21">
        <f>VLOOKUP(Template!$M215,Template!$D$3:$F$619,MATCH("InternalGrade",Template!$D$2:$F$2,0),FALSE)-Template!$F215</f>
        <v>0</v>
      </c>
      <c r="AC215" s="17">
        <f>IF(Template!$AB215&lt;=1, 0.8,IF(Template!$AB215=2,0.4,IF(Template!$AB215=3,0.2,IF(Template!$AB215=4,0.1,IF(Template!$AB215&gt;=5,0.05,"erro")))))</f>
        <v>0.8</v>
      </c>
      <c r="AD215" s="17" t="b">
        <f>Template!$D215=Template!$M215</f>
        <v>0</v>
      </c>
      <c r="AE215" s="12" t="s">
        <v>58</v>
      </c>
    </row>
    <row r="216" ht="15.75" customHeight="1">
      <c r="A216" s="7" t="s">
        <v>190</v>
      </c>
      <c r="B216" s="7" t="s">
        <v>209</v>
      </c>
      <c r="C216" s="7" t="s">
        <v>216</v>
      </c>
      <c r="D216" s="13">
        <v>24662.0</v>
      </c>
      <c r="E216" s="7" t="s">
        <v>193</v>
      </c>
      <c r="F216" s="13"/>
      <c r="G216" s="14" t="s">
        <v>63</v>
      </c>
      <c r="H216" s="7" t="s">
        <v>64</v>
      </c>
      <c r="I216" s="7" t="s">
        <v>65</v>
      </c>
      <c r="J216" s="7" t="s">
        <v>70</v>
      </c>
      <c r="K216" s="15">
        <v>45261.0</v>
      </c>
      <c r="L216" s="15">
        <v>35732.0</v>
      </c>
      <c r="M216" s="13">
        <v>11482.0</v>
      </c>
      <c r="N216" s="7"/>
      <c r="O216" s="7"/>
      <c r="P216" s="7">
        <v>13.33</v>
      </c>
      <c r="Q216" s="7"/>
      <c r="R216" s="20"/>
      <c r="S216" s="7"/>
      <c r="T216" s="20"/>
      <c r="U216" s="16">
        <f>SUM(Template!$N216:$O216)*Template!$P216+Template!$Q216</f>
        <v>0</v>
      </c>
      <c r="V216" s="17" t="str">
        <f>IF(Template!$M216="CONSELHO","N",IF(Template!$AA216="N","N1",IF(Template!$AA216="N1","N2",IF(Template!$AA216="N2","N3",IF(Template!$AA216="N3","N4",IF(Template!$AA216="N4","N5",IF(Template!$AA216="N5","N6",IF(Template!$AA216="N6","N7",IF(Template!$AA216="N7","N8",IF(Template!$AA216="N8","N9",IF(Template!$AA216="N9","N10","NA")))))))))))</f>
        <v>N4</v>
      </c>
      <c r="W216" s="17">
        <f>COUNTIF(Template!$M$3:$M$619,Template!$D216)</f>
        <v>0</v>
      </c>
      <c r="X216" s="17" t="str">
        <f>IF(Template!$F216="","",SUMIF(Template!$M$3:$M$619,Template!$D216,Template!$AC$3:$AC$619))</f>
        <v/>
      </c>
      <c r="Y216" s="17" t="str">
        <f>IFERROR(VLOOKUP(Template!$M216,Template!$D$3:$G$619,MATCH("EmployeeJobTitle",Template!$D$2:$G$2,0),FALSE),"NA")</f>
        <v>GERENTE DE LOJA</v>
      </c>
      <c r="Z216" s="17" t="str">
        <f>IFERROR(VLOOKUP(Template!$M216,Template!$D$3:$G$619,MATCH("EmployeeGroup",Template!$D$2:$G$2,0),FALSE),"NA")</f>
        <v>GERENTE</v>
      </c>
      <c r="AA216" s="17" t="str">
        <f>IFERROR(VLOOKUP(Template!$M216,Template!$D$3:$V$619,MATCH("Layer",Template!$D$2:$V$2,0),FALSE),"NA")</f>
        <v>N3</v>
      </c>
      <c r="AB216" s="21">
        <f>VLOOKUP(Template!$M216,Template!$D$3:$F$619,MATCH("InternalGrade",Template!$D$2:$F$2,0),FALSE)-Template!$F216</f>
        <v>0</v>
      </c>
      <c r="AC216" s="17">
        <f>IF(Template!$AB216&lt;=1, 0.8,IF(Template!$AB216=2,0.4,IF(Template!$AB216=3,0.2,IF(Template!$AB216=4,0.1,IF(Template!$AB216&gt;=5,0.05,"erro")))))</f>
        <v>0.8</v>
      </c>
      <c r="AD216" s="17" t="b">
        <f>Template!$D216=Template!$M216</f>
        <v>0</v>
      </c>
      <c r="AE216" s="12" t="s">
        <v>58</v>
      </c>
    </row>
    <row r="217" ht="15.75" customHeight="1">
      <c r="A217" s="7" t="s">
        <v>190</v>
      </c>
      <c r="B217" s="7" t="s">
        <v>209</v>
      </c>
      <c r="C217" s="7" t="s">
        <v>216</v>
      </c>
      <c r="D217" s="13">
        <v>24840.0</v>
      </c>
      <c r="E217" s="7" t="s">
        <v>193</v>
      </c>
      <c r="F217" s="13"/>
      <c r="G217" s="14" t="s">
        <v>63</v>
      </c>
      <c r="H217" s="7" t="s">
        <v>64</v>
      </c>
      <c r="I217" s="7" t="s">
        <v>65</v>
      </c>
      <c r="J217" s="7" t="s">
        <v>70</v>
      </c>
      <c r="K217" s="15">
        <v>45323.0</v>
      </c>
      <c r="L217" s="15">
        <v>35888.0</v>
      </c>
      <c r="M217" s="13">
        <v>11482.0</v>
      </c>
      <c r="N217" s="7"/>
      <c r="O217" s="7"/>
      <c r="P217" s="7">
        <v>13.33</v>
      </c>
      <c r="Q217" s="7"/>
      <c r="R217" s="20"/>
      <c r="S217" s="7"/>
      <c r="T217" s="20"/>
      <c r="U217" s="16">
        <f>SUM(Template!$N217:$O217)*Template!$P217+Template!$Q217</f>
        <v>0</v>
      </c>
      <c r="V217" s="17" t="str">
        <f>IF(Template!$M217="CONSELHO","N",IF(Template!$AA217="N","N1",IF(Template!$AA217="N1","N2",IF(Template!$AA217="N2","N3",IF(Template!$AA217="N3","N4",IF(Template!$AA217="N4","N5",IF(Template!$AA217="N5","N6",IF(Template!$AA217="N6","N7",IF(Template!$AA217="N7","N8",IF(Template!$AA217="N8","N9",IF(Template!$AA217="N9","N10","NA")))))))))))</f>
        <v>N4</v>
      </c>
      <c r="W217" s="17">
        <f>COUNTIF(Template!$M$3:$M$619,Template!$D217)</f>
        <v>0</v>
      </c>
      <c r="X217" s="17" t="str">
        <f>IF(Template!$F217="","",SUMIF(Template!$M$3:$M$619,Template!$D217,Template!$AC$3:$AC$619))</f>
        <v/>
      </c>
      <c r="Y217" s="17" t="str">
        <f>IFERROR(VLOOKUP(Template!$M217,Template!$D$3:$G$619,MATCH("EmployeeJobTitle",Template!$D$2:$G$2,0),FALSE),"NA")</f>
        <v>GERENTE DE LOJA</v>
      </c>
      <c r="Z217" s="17" t="str">
        <f>IFERROR(VLOOKUP(Template!$M217,Template!$D$3:$G$619,MATCH("EmployeeGroup",Template!$D$2:$G$2,0),FALSE),"NA")</f>
        <v>GERENTE</v>
      </c>
      <c r="AA217" s="17" t="str">
        <f>IFERROR(VLOOKUP(Template!$M217,Template!$D$3:$V$619,MATCH("Layer",Template!$D$2:$V$2,0),FALSE),"NA")</f>
        <v>N3</v>
      </c>
      <c r="AB217" s="21">
        <f>VLOOKUP(Template!$M217,Template!$D$3:$F$619,MATCH("InternalGrade",Template!$D$2:$F$2,0),FALSE)-Template!$F217</f>
        <v>0</v>
      </c>
      <c r="AC217" s="17">
        <f>IF(Template!$AB217&lt;=1, 0.8,IF(Template!$AB217=2,0.4,IF(Template!$AB217=3,0.2,IF(Template!$AB217=4,0.1,IF(Template!$AB217&gt;=5,0.05,"erro")))))</f>
        <v>0.8</v>
      </c>
      <c r="AD217" s="17" t="b">
        <f>Template!$D217=Template!$M217</f>
        <v>0</v>
      </c>
      <c r="AE217" s="12" t="s">
        <v>58</v>
      </c>
    </row>
    <row r="218" ht="15.75" customHeight="1">
      <c r="A218" s="7" t="s">
        <v>190</v>
      </c>
      <c r="B218" s="7" t="s">
        <v>209</v>
      </c>
      <c r="C218" s="7" t="s">
        <v>216</v>
      </c>
      <c r="D218" s="13">
        <v>24706.0</v>
      </c>
      <c r="E218" s="7" t="s">
        <v>193</v>
      </c>
      <c r="F218" s="13"/>
      <c r="G218" s="14" t="s">
        <v>63</v>
      </c>
      <c r="H218" s="7" t="s">
        <v>64</v>
      </c>
      <c r="I218" s="7" t="s">
        <v>65</v>
      </c>
      <c r="J218" s="7" t="s">
        <v>70</v>
      </c>
      <c r="K218" s="15">
        <v>45261.0</v>
      </c>
      <c r="L218" s="15">
        <v>33785.0</v>
      </c>
      <c r="M218" s="13">
        <v>11482.0</v>
      </c>
      <c r="N218" s="7"/>
      <c r="O218" s="7"/>
      <c r="P218" s="7">
        <v>13.33</v>
      </c>
      <c r="Q218" s="7"/>
      <c r="R218" s="20"/>
      <c r="S218" s="7"/>
      <c r="T218" s="20"/>
      <c r="U218" s="16">
        <f>SUM(Template!$N218:$O218)*Template!$P218+Template!$Q218</f>
        <v>0</v>
      </c>
      <c r="V218" s="17" t="str">
        <f>IF(Template!$M218="CONSELHO","N",IF(Template!$AA218="N","N1",IF(Template!$AA218="N1","N2",IF(Template!$AA218="N2","N3",IF(Template!$AA218="N3","N4",IF(Template!$AA218="N4","N5",IF(Template!$AA218="N5","N6",IF(Template!$AA218="N6","N7",IF(Template!$AA218="N7","N8",IF(Template!$AA218="N8","N9",IF(Template!$AA218="N9","N10","NA")))))))))))</f>
        <v>N4</v>
      </c>
      <c r="W218" s="17">
        <f>COUNTIF(Template!$M$3:$M$619,Template!$D218)</f>
        <v>0</v>
      </c>
      <c r="X218" s="17" t="str">
        <f>IF(Template!$F218="","",SUMIF(Template!$M$3:$M$619,Template!$D218,Template!$AC$3:$AC$619))</f>
        <v/>
      </c>
      <c r="Y218" s="17" t="str">
        <f>IFERROR(VLOOKUP(Template!$M218,Template!$D$3:$G$619,MATCH("EmployeeJobTitle",Template!$D$2:$G$2,0),FALSE),"NA")</f>
        <v>GERENTE DE LOJA</v>
      </c>
      <c r="Z218" s="17" t="str">
        <f>IFERROR(VLOOKUP(Template!$M218,Template!$D$3:$G$619,MATCH("EmployeeGroup",Template!$D$2:$G$2,0),FALSE),"NA")</f>
        <v>GERENTE</v>
      </c>
      <c r="AA218" s="17" t="str">
        <f>IFERROR(VLOOKUP(Template!$M218,Template!$D$3:$V$619,MATCH("Layer",Template!$D$2:$V$2,0),FALSE),"NA")</f>
        <v>N3</v>
      </c>
      <c r="AB218" s="21">
        <f>VLOOKUP(Template!$M218,Template!$D$3:$F$619,MATCH("InternalGrade",Template!$D$2:$F$2,0),FALSE)-Template!$F218</f>
        <v>0</v>
      </c>
      <c r="AC218" s="17">
        <f>IF(Template!$AB218&lt;=1, 0.8,IF(Template!$AB218=2,0.4,IF(Template!$AB218=3,0.2,IF(Template!$AB218=4,0.1,IF(Template!$AB218&gt;=5,0.05,"erro")))))</f>
        <v>0.8</v>
      </c>
      <c r="AD218" s="17" t="b">
        <f>Template!$D218=Template!$M218</f>
        <v>0</v>
      </c>
      <c r="AE218" s="12" t="s">
        <v>58</v>
      </c>
    </row>
    <row r="219" ht="15.75" customHeight="1">
      <c r="A219" s="7" t="s">
        <v>190</v>
      </c>
      <c r="B219" s="7" t="s">
        <v>209</v>
      </c>
      <c r="C219" s="7" t="s">
        <v>216</v>
      </c>
      <c r="D219" s="13">
        <v>25371.0</v>
      </c>
      <c r="E219" s="7" t="s">
        <v>193</v>
      </c>
      <c r="F219" s="13"/>
      <c r="G219" s="14" t="s">
        <v>63</v>
      </c>
      <c r="H219" s="7" t="s">
        <v>64</v>
      </c>
      <c r="I219" s="7" t="s">
        <v>65</v>
      </c>
      <c r="J219" s="7" t="s">
        <v>70</v>
      </c>
      <c r="K219" s="15">
        <v>45544.0</v>
      </c>
      <c r="L219" s="15">
        <v>30058.0</v>
      </c>
      <c r="M219" s="13">
        <v>11482.0</v>
      </c>
      <c r="N219" s="7"/>
      <c r="O219" s="7"/>
      <c r="P219" s="7">
        <v>13.33</v>
      </c>
      <c r="Q219" s="7"/>
      <c r="R219" s="20"/>
      <c r="S219" s="7"/>
      <c r="T219" s="20"/>
      <c r="U219" s="16">
        <f>SUM(Template!$N219:$O219)*Template!$P219+Template!$Q219</f>
        <v>0</v>
      </c>
      <c r="V219" s="17" t="str">
        <f>IF(Template!$M219="CONSELHO","N",IF(Template!$AA219="N","N1",IF(Template!$AA219="N1","N2",IF(Template!$AA219="N2","N3",IF(Template!$AA219="N3","N4",IF(Template!$AA219="N4","N5",IF(Template!$AA219="N5","N6",IF(Template!$AA219="N6","N7",IF(Template!$AA219="N7","N8",IF(Template!$AA219="N8","N9",IF(Template!$AA219="N9","N10","NA")))))))))))</f>
        <v>N4</v>
      </c>
      <c r="W219" s="17">
        <f>COUNTIF(Template!$M$3:$M$619,Template!$D219)</f>
        <v>0</v>
      </c>
      <c r="X219" s="17" t="str">
        <f>IF(Template!$F219="","",SUMIF(Template!$M$3:$M$619,Template!$D219,Template!$AC$3:$AC$619))</f>
        <v/>
      </c>
      <c r="Y219" s="17" t="str">
        <f>IFERROR(VLOOKUP(Template!$M219,Template!$D$3:$G$619,MATCH("EmployeeJobTitle",Template!$D$2:$G$2,0),FALSE),"NA")</f>
        <v>GERENTE DE LOJA</v>
      </c>
      <c r="Z219" s="17" t="str">
        <f>IFERROR(VLOOKUP(Template!$M219,Template!$D$3:$G$619,MATCH("EmployeeGroup",Template!$D$2:$G$2,0),FALSE),"NA")</f>
        <v>GERENTE</v>
      </c>
      <c r="AA219" s="17" t="str">
        <f>IFERROR(VLOOKUP(Template!$M219,Template!$D$3:$V$619,MATCH("Layer",Template!$D$2:$V$2,0),FALSE),"NA")</f>
        <v>N3</v>
      </c>
      <c r="AB219" s="21">
        <f>VLOOKUP(Template!$M219,Template!$D$3:$F$619,MATCH("InternalGrade",Template!$D$2:$F$2,0),FALSE)-Template!$F219</f>
        <v>0</v>
      </c>
      <c r="AC219" s="17">
        <f>IF(Template!$AB219&lt;=1, 0.8,IF(Template!$AB219=2,0.4,IF(Template!$AB219=3,0.2,IF(Template!$AB219=4,0.1,IF(Template!$AB219&gt;=5,0.05,"erro")))))</f>
        <v>0.8</v>
      </c>
      <c r="AD219" s="17" t="b">
        <f>Template!$D219=Template!$M219</f>
        <v>0</v>
      </c>
      <c r="AE219" s="12" t="s">
        <v>58</v>
      </c>
    </row>
    <row r="220" ht="15.75" customHeight="1">
      <c r="A220" s="7" t="s">
        <v>190</v>
      </c>
      <c r="B220" s="7" t="s">
        <v>209</v>
      </c>
      <c r="C220" s="7" t="s">
        <v>216</v>
      </c>
      <c r="D220" s="13">
        <v>25194.0</v>
      </c>
      <c r="E220" s="7" t="s">
        <v>198</v>
      </c>
      <c r="F220" s="13"/>
      <c r="G220" s="14" t="s">
        <v>63</v>
      </c>
      <c r="H220" s="7" t="s">
        <v>64</v>
      </c>
      <c r="I220" s="7" t="s">
        <v>65</v>
      </c>
      <c r="J220" s="7" t="s">
        <v>70</v>
      </c>
      <c r="K220" s="15">
        <v>45483.0</v>
      </c>
      <c r="L220" s="15">
        <v>38288.0</v>
      </c>
      <c r="M220" s="13">
        <v>11482.0</v>
      </c>
      <c r="N220" s="7">
        <v>1700.0</v>
      </c>
      <c r="O220" s="7"/>
      <c r="P220" s="7">
        <v>13.33</v>
      </c>
      <c r="Q220" s="7"/>
      <c r="R220" s="20"/>
      <c r="S220" s="7"/>
      <c r="T220" s="20"/>
      <c r="U220" s="16">
        <f>SUM(Template!$N220:$O220)*Template!$P220+Template!$Q220</f>
        <v>22661</v>
      </c>
      <c r="V220" s="17" t="str">
        <f>IF(Template!$M220="CONSELHO","N",IF(Template!$AA220="N","N1",IF(Template!$AA220="N1","N2",IF(Template!$AA220="N2","N3",IF(Template!$AA220="N3","N4",IF(Template!$AA220="N4","N5",IF(Template!$AA220="N5","N6",IF(Template!$AA220="N6","N7",IF(Template!$AA220="N7","N8",IF(Template!$AA220="N8","N9",IF(Template!$AA220="N9","N10","NA")))))))))))</f>
        <v>N4</v>
      </c>
      <c r="W220" s="17">
        <f>COUNTIF(Template!$M$3:$M$619,Template!$D220)</f>
        <v>0</v>
      </c>
      <c r="X220" s="17" t="str">
        <f>IF(Template!$F220="","",SUMIF(Template!$M$3:$M$619,Template!$D220,Template!$AC$3:$AC$619))</f>
        <v/>
      </c>
      <c r="Y220" s="17" t="str">
        <f>IFERROR(VLOOKUP(Template!$M220,Template!$D$3:$G$619,MATCH("EmployeeJobTitle",Template!$D$2:$G$2,0),FALSE),"NA")</f>
        <v>GERENTE DE LOJA</v>
      </c>
      <c r="Z220" s="17" t="str">
        <f>IFERROR(VLOOKUP(Template!$M220,Template!$D$3:$G$619,MATCH("EmployeeGroup",Template!$D$2:$G$2,0),FALSE),"NA")</f>
        <v>GERENTE</v>
      </c>
      <c r="AA220" s="17" t="str">
        <f>IFERROR(VLOOKUP(Template!$M220,Template!$D$3:$V$619,MATCH("Layer",Template!$D$2:$V$2,0),FALSE),"NA")</f>
        <v>N3</v>
      </c>
      <c r="AB220" s="21">
        <f>VLOOKUP(Template!$M220,Template!$D$3:$F$619,MATCH("InternalGrade",Template!$D$2:$F$2,0),FALSE)-Template!$F220</f>
        <v>0</v>
      </c>
      <c r="AC220" s="17">
        <f>IF(Template!$AB220&lt;=1, 0.8,IF(Template!$AB220=2,0.4,IF(Template!$AB220=3,0.2,IF(Template!$AB220=4,0.1,IF(Template!$AB220&gt;=5,0.05,"erro")))))</f>
        <v>0.8</v>
      </c>
      <c r="AD220" s="17" t="b">
        <f>Template!$D220=Template!$M220</f>
        <v>0</v>
      </c>
      <c r="AE220" s="12" t="s">
        <v>58</v>
      </c>
    </row>
    <row r="221" ht="15.75" customHeight="1">
      <c r="A221" s="7" t="s">
        <v>190</v>
      </c>
      <c r="B221" s="7" t="s">
        <v>209</v>
      </c>
      <c r="C221" s="7" t="s">
        <v>216</v>
      </c>
      <c r="D221" s="13">
        <v>23807.0</v>
      </c>
      <c r="E221" s="7" t="s">
        <v>193</v>
      </c>
      <c r="F221" s="13"/>
      <c r="G221" s="14" t="s">
        <v>63</v>
      </c>
      <c r="H221" s="7" t="s">
        <v>64</v>
      </c>
      <c r="I221" s="7" t="s">
        <v>65</v>
      </c>
      <c r="J221" s="7" t="s">
        <v>70</v>
      </c>
      <c r="K221" s="15">
        <v>44963.0</v>
      </c>
      <c r="L221" s="15">
        <v>32188.0</v>
      </c>
      <c r="M221" s="13">
        <v>11482.0</v>
      </c>
      <c r="N221" s="7"/>
      <c r="O221" s="7"/>
      <c r="P221" s="7">
        <v>13.33</v>
      </c>
      <c r="Q221" s="7"/>
      <c r="R221" s="20"/>
      <c r="S221" s="7"/>
      <c r="T221" s="20"/>
      <c r="U221" s="16">
        <f>SUM(Template!$N221:$O221)*Template!$P221+Template!$Q221</f>
        <v>0</v>
      </c>
      <c r="V221" s="17" t="str">
        <f>IF(Template!$M221="CONSELHO","N",IF(Template!$AA221="N","N1",IF(Template!$AA221="N1","N2",IF(Template!$AA221="N2","N3",IF(Template!$AA221="N3","N4",IF(Template!$AA221="N4","N5",IF(Template!$AA221="N5","N6",IF(Template!$AA221="N6","N7",IF(Template!$AA221="N7","N8",IF(Template!$AA221="N8","N9",IF(Template!$AA221="N9","N10","NA")))))))))))</f>
        <v>N4</v>
      </c>
      <c r="W221" s="17">
        <f>COUNTIF(Template!$M$3:$M$619,Template!$D221)</f>
        <v>0</v>
      </c>
      <c r="X221" s="17" t="str">
        <f>IF(Template!$F221="","",SUMIF(Template!$M$3:$M$619,Template!$D221,Template!$AC$3:$AC$619))</f>
        <v/>
      </c>
      <c r="Y221" s="17" t="str">
        <f>IFERROR(VLOOKUP(Template!$M221,Template!$D$3:$G$619,MATCH("EmployeeJobTitle",Template!$D$2:$G$2,0),FALSE),"NA")</f>
        <v>GERENTE DE LOJA</v>
      </c>
      <c r="Z221" s="17" t="str">
        <f>IFERROR(VLOOKUP(Template!$M221,Template!$D$3:$G$619,MATCH("EmployeeGroup",Template!$D$2:$G$2,0),FALSE),"NA")</f>
        <v>GERENTE</v>
      </c>
      <c r="AA221" s="17" t="str">
        <f>IFERROR(VLOOKUP(Template!$M221,Template!$D$3:$V$619,MATCH("Layer",Template!$D$2:$V$2,0),FALSE),"NA")</f>
        <v>N3</v>
      </c>
      <c r="AB221" s="21">
        <f>VLOOKUP(Template!$M221,Template!$D$3:$F$619,MATCH("InternalGrade",Template!$D$2:$F$2,0),FALSE)-Template!$F221</f>
        <v>0</v>
      </c>
      <c r="AC221" s="17">
        <f>IF(Template!$AB221&lt;=1, 0.8,IF(Template!$AB221=2,0.4,IF(Template!$AB221=3,0.2,IF(Template!$AB221=4,0.1,IF(Template!$AB221&gt;=5,0.05,"erro")))))</f>
        <v>0.8</v>
      </c>
      <c r="AD221" s="17" t="b">
        <f>Template!$D221=Template!$M221</f>
        <v>0</v>
      </c>
      <c r="AE221" s="12" t="s">
        <v>58</v>
      </c>
    </row>
    <row r="222" ht="15.75" customHeight="1">
      <c r="A222" s="7" t="s">
        <v>190</v>
      </c>
      <c r="B222" s="7" t="s">
        <v>209</v>
      </c>
      <c r="C222" s="7" t="s">
        <v>216</v>
      </c>
      <c r="D222" s="13">
        <v>25218.0</v>
      </c>
      <c r="E222" s="7" t="s">
        <v>193</v>
      </c>
      <c r="F222" s="13"/>
      <c r="G222" s="14" t="s">
        <v>63</v>
      </c>
      <c r="H222" s="7" t="s">
        <v>64</v>
      </c>
      <c r="I222" s="7" t="s">
        <v>65</v>
      </c>
      <c r="J222" s="7" t="s">
        <v>70</v>
      </c>
      <c r="K222" s="15">
        <v>45495.0</v>
      </c>
      <c r="L222" s="15">
        <v>35714.0</v>
      </c>
      <c r="M222" s="13">
        <v>11482.0</v>
      </c>
      <c r="N222" s="7"/>
      <c r="O222" s="7"/>
      <c r="P222" s="7">
        <v>13.33</v>
      </c>
      <c r="Q222" s="7"/>
      <c r="R222" s="20"/>
      <c r="S222" s="7"/>
      <c r="T222" s="20"/>
      <c r="U222" s="16">
        <f>SUM(Template!$N222:$O222)*Template!$P222+Template!$Q222</f>
        <v>0</v>
      </c>
      <c r="V222" s="17" t="str">
        <f>IF(Template!$M222="CONSELHO","N",IF(Template!$AA222="N","N1",IF(Template!$AA222="N1","N2",IF(Template!$AA222="N2","N3",IF(Template!$AA222="N3","N4",IF(Template!$AA222="N4","N5",IF(Template!$AA222="N5","N6",IF(Template!$AA222="N6","N7",IF(Template!$AA222="N7","N8",IF(Template!$AA222="N8","N9",IF(Template!$AA222="N9","N10","NA")))))))))))</f>
        <v>N4</v>
      </c>
      <c r="W222" s="17">
        <f>COUNTIF(Template!$M$3:$M$619,Template!$D222)</f>
        <v>0</v>
      </c>
      <c r="X222" s="17" t="str">
        <f>IF(Template!$F222="","",SUMIF(Template!$M$3:$M$619,Template!$D222,Template!$AC$3:$AC$619))</f>
        <v/>
      </c>
      <c r="Y222" s="17" t="str">
        <f>IFERROR(VLOOKUP(Template!$M222,Template!$D$3:$G$619,MATCH("EmployeeJobTitle",Template!$D$2:$G$2,0),FALSE),"NA")</f>
        <v>GERENTE DE LOJA</v>
      </c>
      <c r="Z222" s="17" t="str">
        <f>IFERROR(VLOOKUP(Template!$M222,Template!$D$3:$G$619,MATCH("EmployeeGroup",Template!$D$2:$G$2,0),FALSE),"NA")</f>
        <v>GERENTE</v>
      </c>
      <c r="AA222" s="17" t="str">
        <f>IFERROR(VLOOKUP(Template!$M222,Template!$D$3:$V$619,MATCH("Layer",Template!$D$2:$V$2,0),FALSE),"NA")</f>
        <v>N3</v>
      </c>
      <c r="AB222" s="21">
        <f>VLOOKUP(Template!$M222,Template!$D$3:$F$619,MATCH("InternalGrade",Template!$D$2:$F$2,0),FALSE)-Template!$F222</f>
        <v>0</v>
      </c>
      <c r="AC222" s="17">
        <f>IF(Template!$AB222&lt;=1, 0.8,IF(Template!$AB222=2,0.4,IF(Template!$AB222=3,0.2,IF(Template!$AB222=4,0.1,IF(Template!$AB222&gt;=5,0.05,"erro")))))</f>
        <v>0.8</v>
      </c>
      <c r="AD222" s="17" t="b">
        <f>Template!$D222=Template!$M222</f>
        <v>0</v>
      </c>
      <c r="AE222" s="12" t="s">
        <v>58</v>
      </c>
    </row>
    <row r="223" ht="15.75" customHeight="1">
      <c r="A223" s="7" t="s">
        <v>190</v>
      </c>
      <c r="B223" s="7" t="s">
        <v>209</v>
      </c>
      <c r="C223" s="7" t="s">
        <v>216</v>
      </c>
      <c r="D223" s="13">
        <v>21012.0</v>
      </c>
      <c r="E223" s="7" t="s">
        <v>196</v>
      </c>
      <c r="F223" s="13"/>
      <c r="G223" s="14" t="s">
        <v>63</v>
      </c>
      <c r="H223" s="7" t="s">
        <v>64</v>
      </c>
      <c r="I223" s="7" t="s">
        <v>65</v>
      </c>
      <c r="J223" s="7" t="s">
        <v>70</v>
      </c>
      <c r="K223" s="15">
        <v>44753.0</v>
      </c>
      <c r="L223" s="15">
        <v>37550.0</v>
      </c>
      <c r="M223" s="13">
        <v>11482.0</v>
      </c>
      <c r="N223" s="7">
        <v>1894.0</v>
      </c>
      <c r="O223" s="7"/>
      <c r="P223" s="7">
        <v>13.33</v>
      </c>
      <c r="Q223" s="7"/>
      <c r="R223" s="20"/>
      <c r="S223" s="7"/>
      <c r="T223" s="20"/>
      <c r="U223" s="16">
        <f>SUM(Template!$N223:$O223)*Template!$P223+Template!$Q223</f>
        <v>25247.02</v>
      </c>
      <c r="V223" s="17" t="str">
        <f>IF(Template!$M223="CONSELHO","N",IF(Template!$AA223="N","N1",IF(Template!$AA223="N1","N2",IF(Template!$AA223="N2","N3",IF(Template!$AA223="N3","N4",IF(Template!$AA223="N4","N5",IF(Template!$AA223="N5","N6",IF(Template!$AA223="N6","N7",IF(Template!$AA223="N7","N8",IF(Template!$AA223="N8","N9",IF(Template!$AA223="N9","N10","NA")))))))))))</f>
        <v>N4</v>
      </c>
      <c r="W223" s="17">
        <f>COUNTIF(Template!$M$3:$M$619,Template!$D223)</f>
        <v>0</v>
      </c>
      <c r="X223" s="17" t="str">
        <f>IF(Template!$F223="","",SUMIF(Template!$M$3:$M$619,Template!$D223,Template!$AC$3:$AC$619))</f>
        <v/>
      </c>
      <c r="Y223" s="17" t="str">
        <f>IFERROR(VLOOKUP(Template!$M223,Template!$D$3:$G$619,MATCH("EmployeeJobTitle",Template!$D$2:$G$2,0),FALSE),"NA")</f>
        <v>GERENTE DE LOJA</v>
      </c>
      <c r="Z223" s="17" t="str">
        <f>IFERROR(VLOOKUP(Template!$M223,Template!$D$3:$G$619,MATCH("EmployeeGroup",Template!$D$2:$G$2,0),FALSE),"NA")</f>
        <v>GERENTE</v>
      </c>
      <c r="AA223" s="17" t="str">
        <f>IFERROR(VLOOKUP(Template!$M223,Template!$D$3:$V$619,MATCH("Layer",Template!$D$2:$V$2,0),FALSE),"NA")</f>
        <v>N3</v>
      </c>
      <c r="AB223" s="21">
        <f>VLOOKUP(Template!$M223,Template!$D$3:$F$619,MATCH("InternalGrade",Template!$D$2:$F$2,0),FALSE)-Template!$F223</f>
        <v>0</v>
      </c>
      <c r="AC223" s="17">
        <f>IF(Template!$AB223&lt;=1, 0.8,IF(Template!$AB223=2,0.4,IF(Template!$AB223=3,0.2,IF(Template!$AB223=4,0.1,IF(Template!$AB223&gt;=5,0.05,"erro")))))</f>
        <v>0.8</v>
      </c>
      <c r="AD223" s="17" t="b">
        <f>Template!$D223=Template!$M223</f>
        <v>0</v>
      </c>
      <c r="AE223" s="12" t="s">
        <v>58</v>
      </c>
    </row>
    <row r="224" ht="15.75" customHeight="1">
      <c r="A224" s="7" t="s">
        <v>190</v>
      </c>
      <c r="B224" s="7" t="s">
        <v>209</v>
      </c>
      <c r="C224" s="7" t="s">
        <v>216</v>
      </c>
      <c r="D224" s="13">
        <v>18738.0</v>
      </c>
      <c r="E224" s="7" t="s">
        <v>198</v>
      </c>
      <c r="F224" s="13"/>
      <c r="G224" s="14" t="s">
        <v>63</v>
      </c>
      <c r="H224" s="7" t="s">
        <v>64</v>
      </c>
      <c r="I224" s="7" t="s">
        <v>65</v>
      </c>
      <c r="J224" s="7" t="s">
        <v>70</v>
      </c>
      <c r="K224" s="15">
        <v>44091.0</v>
      </c>
      <c r="L224" s="15">
        <v>31934.0</v>
      </c>
      <c r="M224" s="13">
        <v>11482.0</v>
      </c>
      <c r="N224" s="7">
        <v>2123.0</v>
      </c>
      <c r="O224" s="7"/>
      <c r="P224" s="7">
        <v>13.33</v>
      </c>
      <c r="Q224" s="7"/>
      <c r="R224" s="20"/>
      <c r="S224" s="7"/>
      <c r="T224" s="20"/>
      <c r="U224" s="16">
        <f>SUM(Template!$N224:$O224)*Template!$P224+Template!$Q224</f>
        <v>28299.59</v>
      </c>
      <c r="V224" s="17" t="str">
        <f>IF(Template!$M224="CONSELHO","N",IF(Template!$AA224="N","N1",IF(Template!$AA224="N1","N2",IF(Template!$AA224="N2","N3",IF(Template!$AA224="N3","N4",IF(Template!$AA224="N4","N5",IF(Template!$AA224="N5","N6",IF(Template!$AA224="N6","N7",IF(Template!$AA224="N7","N8",IF(Template!$AA224="N8","N9",IF(Template!$AA224="N9","N10","NA")))))))))))</f>
        <v>N4</v>
      </c>
      <c r="W224" s="17">
        <f>COUNTIF(Template!$M$3:$M$619,Template!$D224)</f>
        <v>0</v>
      </c>
      <c r="X224" s="17" t="str">
        <f>IF(Template!$F224="","",SUMIF(Template!$M$3:$M$619,Template!$D224,Template!$AC$3:$AC$619))</f>
        <v/>
      </c>
      <c r="Y224" s="17" t="str">
        <f>IFERROR(VLOOKUP(Template!$M224,Template!$D$3:$G$619,MATCH("EmployeeJobTitle",Template!$D$2:$G$2,0),FALSE),"NA")</f>
        <v>GERENTE DE LOJA</v>
      </c>
      <c r="Z224" s="17" t="str">
        <f>IFERROR(VLOOKUP(Template!$M224,Template!$D$3:$G$619,MATCH("EmployeeGroup",Template!$D$2:$G$2,0),FALSE),"NA")</f>
        <v>GERENTE</v>
      </c>
      <c r="AA224" s="17" t="str">
        <f>IFERROR(VLOOKUP(Template!$M224,Template!$D$3:$V$619,MATCH("Layer",Template!$D$2:$V$2,0),FALSE),"NA")</f>
        <v>N3</v>
      </c>
      <c r="AB224" s="21">
        <f>VLOOKUP(Template!$M224,Template!$D$3:$F$619,MATCH("InternalGrade",Template!$D$2:$F$2,0),FALSE)-Template!$F224</f>
        <v>0</v>
      </c>
      <c r="AC224" s="17">
        <f>IF(Template!$AB224&lt;=1, 0.8,IF(Template!$AB224=2,0.4,IF(Template!$AB224=3,0.2,IF(Template!$AB224=4,0.1,IF(Template!$AB224&gt;=5,0.05,"erro")))))</f>
        <v>0.8</v>
      </c>
      <c r="AD224" s="17" t="b">
        <f>Template!$D224=Template!$M224</f>
        <v>0</v>
      </c>
      <c r="AE224" s="12" t="s">
        <v>58</v>
      </c>
    </row>
    <row r="225" ht="15.75" customHeight="1">
      <c r="A225" s="7" t="s">
        <v>190</v>
      </c>
      <c r="B225" s="7" t="s">
        <v>209</v>
      </c>
      <c r="C225" s="7" t="s">
        <v>216</v>
      </c>
      <c r="D225" s="13">
        <v>11482.0</v>
      </c>
      <c r="E225" s="7" t="s">
        <v>199</v>
      </c>
      <c r="F225" s="13"/>
      <c r="G225" s="22" t="s">
        <v>200</v>
      </c>
      <c r="H225" s="7" t="s">
        <v>64</v>
      </c>
      <c r="I225" s="7" t="s">
        <v>65</v>
      </c>
      <c r="J225" s="7" t="s">
        <v>70</v>
      </c>
      <c r="K225" s="15">
        <v>40969.0</v>
      </c>
      <c r="L225" s="15">
        <v>31831.0</v>
      </c>
      <c r="M225" s="13">
        <v>18766.0</v>
      </c>
      <c r="N225" s="7">
        <v>6271.0</v>
      </c>
      <c r="O225" s="7"/>
      <c r="P225" s="7">
        <v>13.33</v>
      </c>
      <c r="Q225" s="7"/>
      <c r="R225" s="20"/>
      <c r="S225" s="7"/>
      <c r="T225" s="20"/>
      <c r="U225" s="16">
        <f>SUM(Template!$N225:$O225)*Template!$P225+Template!$Q225</f>
        <v>83592.43</v>
      </c>
      <c r="V225" s="17" t="str">
        <f>IF(Template!$M225="CONSELHO","N",IF(Template!$AA225="N","N1",IF(Template!$AA225="N1","N2",IF(Template!$AA225="N2","N3",IF(Template!$AA225="N3","N4",IF(Template!$AA225="N4","N5",IF(Template!$AA225="N5","N6",IF(Template!$AA225="N6","N7",IF(Template!$AA225="N7","N8",IF(Template!$AA225="N8","N9",IF(Template!$AA225="N9","N10","NA")))))))))))</f>
        <v>N3</v>
      </c>
      <c r="W225" s="17">
        <f>COUNTIF(Template!$M$3:$M$619,Template!$D225)</f>
        <v>17</v>
      </c>
      <c r="X225" s="17" t="str">
        <f>IF(Template!$F225="","",SUMIF(Template!$M$3:$M$619,Template!$D225,Template!$AC$3:$AC$619))</f>
        <v/>
      </c>
      <c r="Y225" s="17" t="str">
        <f>IFERROR(VLOOKUP(Template!$M225,Template!$D$3:$G$619,MATCH("EmployeeJobTitle",Template!$D$2:$G$2,0),FALSE),"NA")</f>
        <v>GERENTE COMERCIAL</v>
      </c>
      <c r="Z225" s="17" t="str">
        <f>IFERROR(VLOOKUP(Template!$M225,Template!$D$3:$G$619,MATCH("EmployeeGroup",Template!$D$2:$G$2,0),FALSE),"NA")</f>
        <v>Coordenador</v>
      </c>
      <c r="AA225" s="17" t="str">
        <f>IFERROR(VLOOKUP(Template!$M225,Template!$D$3:$V$619,MATCH("Layer",Template!$D$2:$V$2,0),FALSE),"NA")</f>
        <v>N2</v>
      </c>
      <c r="AB225" s="21">
        <f>VLOOKUP(Template!$M225,Template!$D$3:$F$619,MATCH("InternalGrade",Template!$D$2:$F$2,0),FALSE)-Template!$F225</f>
        <v>19</v>
      </c>
      <c r="AC225" s="17">
        <f>IF(Template!$AB225&lt;=1, 0.8,IF(Template!$AB225=2,0.4,IF(Template!$AB225=3,0.2,IF(Template!$AB225=4,0.1,IF(Template!$AB225&gt;=5,0.05,"erro")))))</f>
        <v>0.05</v>
      </c>
      <c r="AD225" s="17" t="b">
        <f>Template!$D225=Template!$M225</f>
        <v>0</v>
      </c>
      <c r="AE225" s="12" t="s">
        <v>58</v>
      </c>
    </row>
    <row r="226" ht="15.75" customHeight="1">
      <c r="A226" s="7" t="s">
        <v>190</v>
      </c>
      <c r="B226" s="7" t="s">
        <v>209</v>
      </c>
      <c r="C226" s="7" t="s">
        <v>216</v>
      </c>
      <c r="D226" s="13">
        <v>24505.0</v>
      </c>
      <c r="E226" s="7" t="s">
        <v>196</v>
      </c>
      <c r="F226" s="13"/>
      <c r="G226" s="14" t="s">
        <v>63</v>
      </c>
      <c r="H226" s="7" t="s">
        <v>64</v>
      </c>
      <c r="I226" s="7" t="s">
        <v>65</v>
      </c>
      <c r="J226" s="7" t="s">
        <v>70</v>
      </c>
      <c r="K226" s="15">
        <v>45236.0</v>
      </c>
      <c r="L226" s="15">
        <v>38389.0</v>
      </c>
      <c r="M226" s="13">
        <v>11482.0</v>
      </c>
      <c r="N226" s="7">
        <v>1893.0</v>
      </c>
      <c r="O226" s="7"/>
      <c r="P226" s="7">
        <v>13.33</v>
      </c>
      <c r="Q226" s="7"/>
      <c r="R226" s="20"/>
      <c r="S226" s="7"/>
      <c r="T226" s="20"/>
      <c r="U226" s="16">
        <f>SUM(Template!$N226:$O226)*Template!$P226+Template!$Q226</f>
        <v>25233.69</v>
      </c>
      <c r="V226" s="17" t="str">
        <f>IF(Template!$M226="CONSELHO","N",IF(Template!$AA226="N","N1",IF(Template!$AA226="N1","N2",IF(Template!$AA226="N2","N3",IF(Template!$AA226="N3","N4",IF(Template!$AA226="N4","N5",IF(Template!$AA226="N5","N6",IF(Template!$AA226="N6","N7",IF(Template!$AA226="N7","N8",IF(Template!$AA226="N8","N9",IF(Template!$AA226="N9","N10","NA")))))))))))</f>
        <v>N4</v>
      </c>
      <c r="W226" s="17">
        <f>COUNTIF(Template!$M$3:$M$619,Template!$D226)</f>
        <v>0</v>
      </c>
      <c r="X226" s="17" t="str">
        <f>IF(Template!$F226="","",SUMIF(Template!$M$3:$M$619,Template!$D226,Template!$AC$3:$AC$619))</f>
        <v/>
      </c>
      <c r="Y226" s="17" t="str">
        <f>IFERROR(VLOOKUP(Template!$M226,Template!$D$3:$G$619,MATCH("EmployeeJobTitle",Template!$D$2:$G$2,0),FALSE),"NA")</f>
        <v>GERENTE DE LOJA</v>
      </c>
      <c r="Z226" s="17" t="str">
        <f>IFERROR(VLOOKUP(Template!$M226,Template!$D$3:$G$619,MATCH("EmployeeGroup",Template!$D$2:$G$2,0),FALSE),"NA")</f>
        <v>GERENTE</v>
      </c>
      <c r="AA226" s="17" t="str">
        <f>IFERROR(VLOOKUP(Template!$M226,Template!$D$3:$V$619,MATCH("Layer",Template!$D$2:$V$2,0),FALSE),"NA")</f>
        <v>N3</v>
      </c>
      <c r="AB226" s="21">
        <f>VLOOKUP(Template!$M226,Template!$D$3:$F$619,MATCH("InternalGrade",Template!$D$2:$F$2,0),FALSE)-Template!$F226</f>
        <v>0</v>
      </c>
      <c r="AC226" s="17">
        <f>IF(Template!$AB226&lt;=1, 0.8,IF(Template!$AB226=2,0.4,IF(Template!$AB226=3,0.2,IF(Template!$AB226=4,0.1,IF(Template!$AB226&gt;=5,0.05,"erro")))))</f>
        <v>0.8</v>
      </c>
      <c r="AD226" s="17" t="b">
        <f>Template!$D226=Template!$M226</f>
        <v>0</v>
      </c>
      <c r="AE226" s="12" t="s">
        <v>58</v>
      </c>
    </row>
    <row r="227" ht="15.75" customHeight="1">
      <c r="A227" s="7" t="s">
        <v>190</v>
      </c>
      <c r="B227" s="7" t="s">
        <v>209</v>
      </c>
      <c r="C227" s="7" t="s">
        <v>217</v>
      </c>
      <c r="D227" s="13">
        <v>25138.0</v>
      </c>
      <c r="E227" s="7" t="s">
        <v>193</v>
      </c>
      <c r="F227" s="13"/>
      <c r="G227" s="14" t="s">
        <v>63</v>
      </c>
      <c r="H227" s="7" t="s">
        <v>64</v>
      </c>
      <c r="I227" s="7" t="s">
        <v>65</v>
      </c>
      <c r="J227" s="7" t="s">
        <v>70</v>
      </c>
      <c r="K227" s="15">
        <v>45461.0</v>
      </c>
      <c r="L227" s="15">
        <v>34147.0</v>
      </c>
      <c r="M227" s="13">
        <v>15062.0</v>
      </c>
      <c r="N227" s="7"/>
      <c r="O227" s="7"/>
      <c r="P227" s="7">
        <v>13.33</v>
      </c>
      <c r="Q227" s="7"/>
      <c r="R227" s="20"/>
      <c r="S227" s="7"/>
      <c r="T227" s="20"/>
      <c r="U227" s="16">
        <f>SUM(Template!$N227:$O227)*Template!$P227+Template!$Q227</f>
        <v>0</v>
      </c>
      <c r="V227" s="17" t="str">
        <f>IF(Template!$M227="CONSELHO","N",IF(Template!$AA227="N","N1",IF(Template!$AA227="N1","N2",IF(Template!$AA227="N2","N3",IF(Template!$AA227="N3","N4",IF(Template!$AA227="N4","N5",IF(Template!$AA227="N5","N6",IF(Template!$AA227="N6","N7",IF(Template!$AA227="N7","N8",IF(Template!$AA227="N8","N9",IF(Template!$AA227="N9","N10","NA")))))))))))</f>
        <v>N4</v>
      </c>
      <c r="W227" s="17">
        <f>COUNTIF(Template!$M$3:$M$619,Template!$D227)</f>
        <v>0</v>
      </c>
      <c r="X227" s="17" t="str">
        <f>IF(Template!$F227="","",SUMIF(Template!$M$3:$M$619,Template!$D227,Template!$AC$3:$AC$619))</f>
        <v/>
      </c>
      <c r="Y227" s="17" t="str">
        <f>IFERROR(VLOOKUP(Template!$M227,Template!$D$3:$G$619,MATCH("EmployeeJobTitle",Template!$D$2:$G$2,0),FALSE),"NA")</f>
        <v>GERENTE DE LOJA</v>
      </c>
      <c r="Z227" s="17" t="str">
        <f>IFERROR(VLOOKUP(Template!$M227,Template!$D$3:$G$619,MATCH("EmployeeGroup",Template!$D$2:$G$2,0),FALSE),"NA")</f>
        <v>GERENTE</v>
      </c>
      <c r="AA227" s="17" t="str">
        <f>IFERROR(VLOOKUP(Template!$M227,Template!$D$3:$V$619,MATCH("Layer",Template!$D$2:$V$2,0),FALSE),"NA")</f>
        <v>N3</v>
      </c>
      <c r="AB227" s="21">
        <f>VLOOKUP(Template!$M227,Template!$D$3:$F$619,MATCH("InternalGrade",Template!$D$2:$F$2,0),FALSE)-Template!$F227</f>
        <v>0</v>
      </c>
      <c r="AC227" s="17">
        <f>IF(Template!$AB227&lt;=1, 0.8,IF(Template!$AB227=2,0.4,IF(Template!$AB227=3,0.2,IF(Template!$AB227=4,0.1,IF(Template!$AB227&gt;=5,0.05,"erro")))))</f>
        <v>0.8</v>
      </c>
      <c r="AD227" s="17" t="b">
        <f>Template!$D227=Template!$M227</f>
        <v>0</v>
      </c>
      <c r="AE227" s="12" t="s">
        <v>58</v>
      </c>
    </row>
    <row r="228" ht="15.75" customHeight="1">
      <c r="A228" s="7" t="s">
        <v>190</v>
      </c>
      <c r="B228" s="7" t="s">
        <v>209</v>
      </c>
      <c r="C228" s="7" t="s">
        <v>217</v>
      </c>
      <c r="D228" s="13">
        <v>22790.0</v>
      </c>
      <c r="E228" s="7" t="s">
        <v>193</v>
      </c>
      <c r="F228" s="13"/>
      <c r="G228" s="14" t="s">
        <v>63</v>
      </c>
      <c r="H228" s="7" t="s">
        <v>64</v>
      </c>
      <c r="I228" s="7" t="s">
        <v>65</v>
      </c>
      <c r="J228" s="7" t="s">
        <v>70</v>
      </c>
      <c r="K228" s="15">
        <v>44887.0</v>
      </c>
      <c r="L228" s="15">
        <v>36525.0</v>
      </c>
      <c r="M228" s="13">
        <v>15062.0</v>
      </c>
      <c r="N228" s="7"/>
      <c r="O228" s="7"/>
      <c r="P228" s="7">
        <v>13.33</v>
      </c>
      <c r="Q228" s="7"/>
      <c r="R228" s="20"/>
      <c r="S228" s="7"/>
      <c r="T228" s="20"/>
      <c r="U228" s="16">
        <f>SUM(Template!$N228:$O228)*Template!$P228+Template!$Q228</f>
        <v>0</v>
      </c>
      <c r="V228" s="17" t="str">
        <f>IF(Template!$M228="CONSELHO","N",IF(Template!$AA228="N","N1",IF(Template!$AA228="N1","N2",IF(Template!$AA228="N2","N3",IF(Template!$AA228="N3","N4",IF(Template!$AA228="N4","N5",IF(Template!$AA228="N5","N6",IF(Template!$AA228="N6","N7",IF(Template!$AA228="N7","N8",IF(Template!$AA228="N8","N9",IF(Template!$AA228="N9","N10","NA")))))))))))</f>
        <v>N4</v>
      </c>
      <c r="W228" s="17">
        <f>COUNTIF(Template!$M$3:$M$619,Template!$D228)</f>
        <v>0</v>
      </c>
      <c r="X228" s="17" t="str">
        <f>IF(Template!$F228="","",SUMIF(Template!$M$3:$M$619,Template!$D228,Template!$AC$3:$AC$619))</f>
        <v/>
      </c>
      <c r="Y228" s="17" t="str">
        <f>IFERROR(VLOOKUP(Template!$M228,Template!$D$3:$G$619,MATCH("EmployeeJobTitle",Template!$D$2:$G$2,0),FALSE),"NA")</f>
        <v>GERENTE DE LOJA</v>
      </c>
      <c r="Z228" s="17" t="str">
        <f>IFERROR(VLOOKUP(Template!$M228,Template!$D$3:$G$619,MATCH("EmployeeGroup",Template!$D$2:$G$2,0),FALSE),"NA")</f>
        <v>GERENTE</v>
      </c>
      <c r="AA228" s="17" t="str">
        <f>IFERROR(VLOOKUP(Template!$M228,Template!$D$3:$V$619,MATCH("Layer",Template!$D$2:$V$2,0),FALSE),"NA")</f>
        <v>N3</v>
      </c>
      <c r="AB228" s="21">
        <f>VLOOKUP(Template!$M228,Template!$D$3:$F$619,MATCH("InternalGrade",Template!$D$2:$F$2,0),FALSE)-Template!$F228</f>
        <v>0</v>
      </c>
      <c r="AC228" s="17">
        <f>IF(Template!$AB228&lt;=1, 0.8,IF(Template!$AB228=2,0.4,IF(Template!$AB228=3,0.2,IF(Template!$AB228=4,0.1,IF(Template!$AB228&gt;=5,0.05,"erro")))))</f>
        <v>0.8</v>
      </c>
      <c r="AD228" s="17" t="b">
        <f>Template!$D228=Template!$M228</f>
        <v>0</v>
      </c>
      <c r="AE228" s="12" t="s">
        <v>58</v>
      </c>
    </row>
    <row r="229" ht="15.75" customHeight="1">
      <c r="A229" s="7" t="s">
        <v>190</v>
      </c>
      <c r="B229" s="7" t="s">
        <v>209</v>
      </c>
      <c r="C229" s="7" t="s">
        <v>217</v>
      </c>
      <c r="D229" s="13">
        <v>18152.0</v>
      </c>
      <c r="E229" s="7" t="s">
        <v>193</v>
      </c>
      <c r="F229" s="13"/>
      <c r="G229" s="14" t="s">
        <v>63</v>
      </c>
      <c r="H229" s="7" t="s">
        <v>64</v>
      </c>
      <c r="I229" s="7" t="s">
        <v>65</v>
      </c>
      <c r="J229" s="7" t="s">
        <v>70</v>
      </c>
      <c r="K229" s="15">
        <v>43787.0</v>
      </c>
      <c r="L229" s="15">
        <v>28782.0</v>
      </c>
      <c r="M229" s="13">
        <v>15062.0</v>
      </c>
      <c r="N229" s="7"/>
      <c r="O229" s="7"/>
      <c r="P229" s="7">
        <v>13.33</v>
      </c>
      <c r="Q229" s="7"/>
      <c r="R229" s="20"/>
      <c r="S229" s="7"/>
      <c r="T229" s="20"/>
      <c r="U229" s="16">
        <f>SUM(Template!$N229:$O229)*Template!$P229+Template!$Q229</f>
        <v>0</v>
      </c>
      <c r="V229" s="17" t="str">
        <f>IF(Template!$M229="CONSELHO","N",IF(Template!$AA229="N","N1",IF(Template!$AA229="N1","N2",IF(Template!$AA229="N2","N3",IF(Template!$AA229="N3","N4",IF(Template!$AA229="N4","N5",IF(Template!$AA229="N5","N6",IF(Template!$AA229="N6","N7",IF(Template!$AA229="N7","N8",IF(Template!$AA229="N8","N9",IF(Template!$AA229="N9","N10","NA")))))))))))</f>
        <v>N4</v>
      </c>
      <c r="W229" s="17">
        <f>COUNTIF(Template!$M$3:$M$619,Template!$D229)</f>
        <v>0</v>
      </c>
      <c r="X229" s="17" t="str">
        <f>IF(Template!$F229="","",SUMIF(Template!$M$3:$M$619,Template!$D229,Template!$AC$3:$AC$619))</f>
        <v/>
      </c>
      <c r="Y229" s="17" t="str">
        <f>IFERROR(VLOOKUP(Template!$M229,Template!$D$3:$G$619,MATCH("EmployeeJobTitle",Template!$D$2:$G$2,0),FALSE),"NA")</f>
        <v>GERENTE DE LOJA</v>
      </c>
      <c r="Z229" s="17" t="str">
        <f>IFERROR(VLOOKUP(Template!$M229,Template!$D$3:$G$619,MATCH("EmployeeGroup",Template!$D$2:$G$2,0),FALSE),"NA")</f>
        <v>GERENTE</v>
      </c>
      <c r="AA229" s="17" t="str">
        <f>IFERROR(VLOOKUP(Template!$M229,Template!$D$3:$V$619,MATCH("Layer",Template!$D$2:$V$2,0),FALSE),"NA")</f>
        <v>N3</v>
      </c>
      <c r="AB229" s="21">
        <f>VLOOKUP(Template!$M229,Template!$D$3:$F$619,MATCH("InternalGrade",Template!$D$2:$F$2,0),FALSE)-Template!$F229</f>
        <v>0</v>
      </c>
      <c r="AC229" s="17">
        <f>IF(Template!$AB229&lt;=1, 0.8,IF(Template!$AB229=2,0.4,IF(Template!$AB229=3,0.2,IF(Template!$AB229=4,0.1,IF(Template!$AB229&gt;=5,0.05,"erro")))))</f>
        <v>0.8</v>
      </c>
      <c r="AD229" s="17" t="b">
        <f>Template!$D229=Template!$M229</f>
        <v>0</v>
      </c>
      <c r="AE229" s="12" t="s">
        <v>58</v>
      </c>
    </row>
    <row r="230" ht="15.75" customHeight="1">
      <c r="A230" s="7" t="s">
        <v>190</v>
      </c>
      <c r="B230" s="7" t="s">
        <v>209</v>
      </c>
      <c r="C230" s="7" t="s">
        <v>217</v>
      </c>
      <c r="D230" s="13">
        <v>23879.0</v>
      </c>
      <c r="E230" s="7" t="s">
        <v>203</v>
      </c>
      <c r="F230" s="13"/>
      <c r="G230" s="14" t="s">
        <v>63</v>
      </c>
      <c r="H230" s="7" t="s">
        <v>64</v>
      </c>
      <c r="I230" s="7" t="s">
        <v>65</v>
      </c>
      <c r="J230" s="7" t="s">
        <v>70</v>
      </c>
      <c r="K230" s="15">
        <v>44986.0</v>
      </c>
      <c r="L230" s="15">
        <v>31914.0</v>
      </c>
      <c r="M230" s="13">
        <v>15062.0</v>
      </c>
      <c r="N230" s="7"/>
      <c r="O230" s="7"/>
      <c r="P230" s="7">
        <v>13.33</v>
      </c>
      <c r="Q230" s="7"/>
      <c r="R230" s="20"/>
      <c r="S230" s="7"/>
      <c r="T230" s="20"/>
      <c r="U230" s="16">
        <f>SUM(Template!$N230:$O230)*Template!$P230+Template!$Q230</f>
        <v>0</v>
      </c>
      <c r="V230" s="17" t="str">
        <f>IF(Template!$M230="CONSELHO","N",IF(Template!$AA230="N","N1",IF(Template!$AA230="N1","N2",IF(Template!$AA230="N2","N3",IF(Template!$AA230="N3","N4",IF(Template!$AA230="N4","N5",IF(Template!$AA230="N5","N6",IF(Template!$AA230="N6","N7",IF(Template!$AA230="N7","N8",IF(Template!$AA230="N8","N9",IF(Template!$AA230="N9","N10","NA")))))))))))</f>
        <v>N4</v>
      </c>
      <c r="W230" s="17">
        <f>COUNTIF(Template!$M$3:$M$619,Template!$D230)</f>
        <v>0</v>
      </c>
      <c r="X230" s="17" t="str">
        <f>IF(Template!$F230="","",SUMIF(Template!$M$3:$M$619,Template!$D230,Template!$AC$3:$AC$619))</f>
        <v/>
      </c>
      <c r="Y230" s="17" t="str">
        <f>IFERROR(VLOOKUP(Template!$M230,Template!$D$3:$G$619,MATCH("EmployeeJobTitle",Template!$D$2:$G$2,0),FALSE),"NA")</f>
        <v>GERENTE DE LOJA</v>
      </c>
      <c r="Z230" s="17" t="str">
        <f>IFERROR(VLOOKUP(Template!$M230,Template!$D$3:$G$619,MATCH("EmployeeGroup",Template!$D$2:$G$2,0),FALSE),"NA")</f>
        <v>GERENTE</v>
      </c>
      <c r="AA230" s="17" t="str">
        <f>IFERROR(VLOOKUP(Template!$M230,Template!$D$3:$V$619,MATCH("Layer",Template!$D$2:$V$2,0),FALSE),"NA")</f>
        <v>N3</v>
      </c>
      <c r="AB230" s="21">
        <f>VLOOKUP(Template!$M230,Template!$D$3:$F$619,MATCH("InternalGrade",Template!$D$2:$F$2,0),FALSE)-Template!$F230</f>
        <v>0</v>
      </c>
      <c r="AC230" s="17">
        <f>IF(Template!$AB230&lt;=1, 0.8,IF(Template!$AB230=2,0.4,IF(Template!$AB230=3,0.2,IF(Template!$AB230=4,0.1,IF(Template!$AB230&gt;=5,0.05,"erro")))))</f>
        <v>0.8</v>
      </c>
      <c r="AD230" s="17" t="b">
        <f>Template!$D230=Template!$M230</f>
        <v>0</v>
      </c>
      <c r="AE230" s="12" t="s">
        <v>58</v>
      </c>
    </row>
    <row r="231" ht="15.75" customHeight="1">
      <c r="A231" s="7" t="s">
        <v>190</v>
      </c>
      <c r="B231" s="7" t="s">
        <v>209</v>
      </c>
      <c r="C231" s="7" t="s">
        <v>217</v>
      </c>
      <c r="D231" s="13">
        <v>25159.0</v>
      </c>
      <c r="E231" s="7" t="s">
        <v>193</v>
      </c>
      <c r="F231" s="13"/>
      <c r="G231" s="14" t="s">
        <v>63</v>
      </c>
      <c r="H231" s="7" t="s">
        <v>64</v>
      </c>
      <c r="I231" s="7" t="s">
        <v>65</v>
      </c>
      <c r="J231" s="7" t="s">
        <v>70</v>
      </c>
      <c r="K231" s="15">
        <v>45474.0</v>
      </c>
      <c r="L231" s="15">
        <v>36682.0</v>
      </c>
      <c r="M231" s="13">
        <v>15062.0</v>
      </c>
      <c r="N231" s="7"/>
      <c r="O231" s="7"/>
      <c r="P231" s="7">
        <v>13.33</v>
      </c>
      <c r="Q231" s="7"/>
      <c r="R231" s="20"/>
      <c r="S231" s="7"/>
      <c r="T231" s="20"/>
      <c r="U231" s="16">
        <f>SUM(Template!$N231:$O231)*Template!$P231+Template!$Q231</f>
        <v>0</v>
      </c>
      <c r="V231" s="17" t="str">
        <f>IF(Template!$M231="CONSELHO","N",IF(Template!$AA231="N","N1",IF(Template!$AA231="N1","N2",IF(Template!$AA231="N2","N3",IF(Template!$AA231="N3","N4",IF(Template!$AA231="N4","N5",IF(Template!$AA231="N5","N6",IF(Template!$AA231="N6","N7",IF(Template!$AA231="N7","N8",IF(Template!$AA231="N8","N9",IF(Template!$AA231="N9","N10","NA")))))))))))</f>
        <v>N4</v>
      </c>
      <c r="W231" s="17">
        <f>COUNTIF(Template!$M$3:$M$619,Template!$D231)</f>
        <v>0</v>
      </c>
      <c r="X231" s="17" t="str">
        <f>IF(Template!$F231="","",SUMIF(Template!$M$3:$M$619,Template!$D231,Template!$AC$3:$AC$619))</f>
        <v/>
      </c>
      <c r="Y231" s="17" t="str">
        <f>IFERROR(VLOOKUP(Template!$M231,Template!$D$3:$G$619,MATCH("EmployeeJobTitle",Template!$D$2:$G$2,0),FALSE),"NA")</f>
        <v>GERENTE DE LOJA</v>
      </c>
      <c r="Z231" s="17" t="str">
        <f>IFERROR(VLOOKUP(Template!$M231,Template!$D$3:$G$619,MATCH("EmployeeGroup",Template!$D$2:$G$2,0),FALSE),"NA")</f>
        <v>GERENTE</v>
      </c>
      <c r="AA231" s="17" t="str">
        <f>IFERROR(VLOOKUP(Template!$M231,Template!$D$3:$V$619,MATCH("Layer",Template!$D$2:$V$2,0),FALSE),"NA")</f>
        <v>N3</v>
      </c>
      <c r="AB231" s="21">
        <f>VLOOKUP(Template!$M231,Template!$D$3:$F$619,MATCH("InternalGrade",Template!$D$2:$F$2,0),FALSE)-Template!$F231</f>
        <v>0</v>
      </c>
      <c r="AC231" s="17">
        <f>IF(Template!$AB231&lt;=1, 0.8,IF(Template!$AB231=2,0.4,IF(Template!$AB231=3,0.2,IF(Template!$AB231=4,0.1,IF(Template!$AB231&gt;=5,0.05,"erro")))))</f>
        <v>0.8</v>
      </c>
      <c r="AD231" s="17" t="b">
        <f>Template!$D231=Template!$M231</f>
        <v>0</v>
      </c>
      <c r="AE231" s="12" t="s">
        <v>58</v>
      </c>
    </row>
    <row r="232" ht="15.75" customHeight="1">
      <c r="A232" s="7" t="s">
        <v>190</v>
      </c>
      <c r="B232" s="7" t="s">
        <v>209</v>
      </c>
      <c r="C232" s="7" t="s">
        <v>217</v>
      </c>
      <c r="D232" s="13">
        <v>22603.0</v>
      </c>
      <c r="E232" s="7" t="s">
        <v>193</v>
      </c>
      <c r="F232" s="13"/>
      <c r="G232" s="14" t="s">
        <v>63</v>
      </c>
      <c r="H232" s="7" t="s">
        <v>64</v>
      </c>
      <c r="I232" s="7" t="s">
        <v>65</v>
      </c>
      <c r="J232" s="7" t="s">
        <v>70</v>
      </c>
      <c r="K232" s="15">
        <v>44882.0</v>
      </c>
      <c r="L232" s="15">
        <v>31349.0</v>
      </c>
      <c r="M232" s="13">
        <v>15062.0</v>
      </c>
      <c r="N232" s="7"/>
      <c r="O232" s="7"/>
      <c r="P232" s="7">
        <v>13.33</v>
      </c>
      <c r="Q232" s="7"/>
      <c r="R232" s="20"/>
      <c r="S232" s="7"/>
      <c r="T232" s="20"/>
      <c r="U232" s="16">
        <f>SUM(Template!$N232:$O232)*Template!$P232+Template!$Q232</f>
        <v>0</v>
      </c>
      <c r="V232" s="17" t="str">
        <f>IF(Template!$M232="CONSELHO","N",IF(Template!$AA232="N","N1",IF(Template!$AA232="N1","N2",IF(Template!$AA232="N2","N3",IF(Template!$AA232="N3","N4",IF(Template!$AA232="N4","N5",IF(Template!$AA232="N5","N6",IF(Template!$AA232="N6","N7",IF(Template!$AA232="N7","N8",IF(Template!$AA232="N8","N9",IF(Template!$AA232="N9","N10","NA")))))))))))</f>
        <v>N4</v>
      </c>
      <c r="W232" s="17">
        <f>COUNTIF(Template!$M$3:$M$619,Template!$D232)</f>
        <v>0</v>
      </c>
      <c r="X232" s="17" t="str">
        <f>IF(Template!$F232="","",SUMIF(Template!$M$3:$M$619,Template!$D232,Template!$AC$3:$AC$619))</f>
        <v/>
      </c>
      <c r="Y232" s="17" t="str">
        <f>IFERROR(VLOOKUP(Template!$M232,Template!$D$3:$G$619,MATCH("EmployeeJobTitle",Template!$D$2:$G$2,0),FALSE),"NA")</f>
        <v>GERENTE DE LOJA</v>
      </c>
      <c r="Z232" s="17" t="str">
        <f>IFERROR(VLOOKUP(Template!$M232,Template!$D$3:$G$619,MATCH("EmployeeGroup",Template!$D$2:$G$2,0),FALSE),"NA")</f>
        <v>GERENTE</v>
      </c>
      <c r="AA232" s="17" t="str">
        <f>IFERROR(VLOOKUP(Template!$M232,Template!$D$3:$V$619,MATCH("Layer",Template!$D$2:$V$2,0),FALSE),"NA")</f>
        <v>N3</v>
      </c>
      <c r="AB232" s="21">
        <f>VLOOKUP(Template!$M232,Template!$D$3:$F$619,MATCH("InternalGrade",Template!$D$2:$F$2,0),FALSE)-Template!$F232</f>
        <v>0</v>
      </c>
      <c r="AC232" s="17">
        <f>IF(Template!$AB232&lt;=1, 0.8,IF(Template!$AB232=2,0.4,IF(Template!$AB232=3,0.2,IF(Template!$AB232=4,0.1,IF(Template!$AB232&gt;=5,0.05,"erro")))))</f>
        <v>0.8</v>
      </c>
      <c r="AD232" s="17" t="b">
        <f>Template!$D232=Template!$M232</f>
        <v>0</v>
      </c>
      <c r="AE232" s="12" t="s">
        <v>58</v>
      </c>
    </row>
    <row r="233" ht="15.75" customHeight="1">
      <c r="A233" s="7" t="s">
        <v>190</v>
      </c>
      <c r="B233" s="7" t="s">
        <v>209</v>
      </c>
      <c r="C233" s="7" t="s">
        <v>217</v>
      </c>
      <c r="D233" s="13">
        <v>24484.0</v>
      </c>
      <c r="E233" s="7" t="s">
        <v>198</v>
      </c>
      <c r="F233" s="13"/>
      <c r="G233" s="14" t="s">
        <v>63</v>
      </c>
      <c r="H233" s="7" t="s">
        <v>64</v>
      </c>
      <c r="I233" s="7" t="s">
        <v>65</v>
      </c>
      <c r="J233" s="7" t="s">
        <v>70</v>
      </c>
      <c r="K233" s="15">
        <v>45236.0</v>
      </c>
      <c r="L233" s="15">
        <v>26199.0</v>
      </c>
      <c r="M233" s="13">
        <v>15062.0</v>
      </c>
      <c r="N233" s="7">
        <v>1700.0</v>
      </c>
      <c r="O233" s="7"/>
      <c r="P233" s="7">
        <v>13.33</v>
      </c>
      <c r="Q233" s="7"/>
      <c r="R233" s="20"/>
      <c r="S233" s="7"/>
      <c r="T233" s="20"/>
      <c r="U233" s="16">
        <f>SUM(Template!$N233:$O233)*Template!$P233+Template!$Q233</f>
        <v>22661</v>
      </c>
      <c r="V233" s="17" t="str">
        <f>IF(Template!$M233="CONSELHO","N",IF(Template!$AA233="N","N1",IF(Template!$AA233="N1","N2",IF(Template!$AA233="N2","N3",IF(Template!$AA233="N3","N4",IF(Template!$AA233="N4","N5",IF(Template!$AA233="N5","N6",IF(Template!$AA233="N6","N7",IF(Template!$AA233="N7","N8",IF(Template!$AA233="N8","N9",IF(Template!$AA233="N9","N10","NA")))))))))))</f>
        <v>N4</v>
      </c>
      <c r="W233" s="17">
        <f>COUNTIF(Template!$M$3:$M$619,Template!$D233)</f>
        <v>0</v>
      </c>
      <c r="X233" s="17" t="str">
        <f>IF(Template!$F233="","",SUMIF(Template!$M$3:$M$619,Template!$D233,Template!$AC$3:$AC$619))</f>
        <v/>
      </c>
      <c r="Y233" s="17" t="str">
        <f>IFERROR(VLOOKUP(Template!$M233,Template!$D$3:$G$619,MATCH("EmployeeJobTitle",Template!$D$2:$G$2,0),FALSE),"NA")</f>
        <v>GERENTE DE LOJA</v>
      </c>
      <c r="Z233" s="17" t="str">
        <f>IFERROR(VLOOKUP(Template!$M233,Template!$D$3:$G$619,MATCH("EmployeeGroup",Template!$D$2:$G$2,0),FALSE),"NA")</f>
        <v>GERENTE</v>
      </c>
      <c r="AA233" s="17" t="str">
        <f>IFERROR(VLOOKUP(Template!$M233,Template!$D$3:$V$619,MATCH("Layer",Template!$D$2:$V$2,0),FALSE),"NA")</f>
        <v>N3</v>
      </c>
      <c r="AB233" s="21">
        <f>VLOOKUP(Template!$M233,Template!$D$3:$F$619,MATCH("InternalGrade",Template!$D$2:$F$2,0),FALSE)-Template!$F233</f>
        <v>0</v>
      </c>
      <c r="AC233" s="17">
        <f>IF(Template!$AB233&lt;=1, 0.8,IF(Template!$AB233=2,0.4,IF(Template!$AB233=3,0.2,IF(Template!$AB233=4,0.1,IF(Template!$AB233&gt;=5,0.05,"erro")))))</f>
        <v>0.8</v>
      </c>
      <c r="AD233" s="17" t="b">
        <f>Template!$D233=Template!$M233</f>
        <v>0</v>
      </c>
      <c r="AE233" s="12" t="s">
        <v>58</v>
      </c>
    </row>
    <row r="234" ht="15.75" customHeight="1">
      <c r="A234" s="7" t="s">
        <v>190</v>
      </c>
      <c r="B234" s="7" t="s">
        <v>209</v>
      </c>
      <c r="C234" s="7" t="s">
        <v>217</v>
      </c>
      <c r="D234" s="13">
        <v>24483.0</v>
      </c>
      <c r="E234" s="7" t="s">
        <v>193</v>
      </c>
      <c r="F234" s="13"/>
      <c r="G234" s="14" t="s">
        <v>63</v>
      </c>
      <c r="H234" s="7" t="s">
        <v>64</v>
      </c>
      <c r="I234" s="7" t="s">
        <v>65</v>
      </c>
      <c r="J234" s="7" t="s">
        <v>70</v>
      </c>
      <c r="K234" s="15">
        <v>45236.0</v>
      </c>
      <c r="L234" s="15">
        <v>30611.0</v>
      </c>
      <c r="M234" s="13">
        <v>15062.0</v>
      </c>
      <c r="N234" s="7"/>
      <c r="O234" s="7"/>
      <c r="P234" s="7">
        <v>13.33</v>
      </c>
      <c r="Q234" s="7"/>
      <c r="R234" s="20"/>
      <c r="S234" s="7"/>
      <c r="T234" s="20"/>
      <c r="U234" s="16">
        <f>SUM(Template!$N234:$O234)*Template!$P234+Template!$Q234</f>
        <v>0</v>
      </c>
      <c r="V234" s="17" t="str">
        <f>IF(Template!$M234="CONSELHO","N",IF(Template!$AA234="N","N1",IF(Template!$AA234="N1","N2",IF(Template!$AA234="N2","N3",IF(Template!$AA234="N3","N4",IF(Template!$AA234="N4","N5",IF(Template!$AA234="N5","N6",IF(Template!$AA234="N6","N7",IF(Template!$AA234="N7","N8",IF(Template!$AA234="N8","N9",IF(Template!$AA234="N9","N10","NA")))))))))))</f>
        <v>N4</v>
      </c>
      <c r="W234" s="17">
        <f>COUNTIF(Template!$M$3:$M$619,Template!$D234)</f>
        <v>0</v>
      </c>
      <c r="X234" s="17" t="str">
        <f>IF(Template!$F234="","",SUMIF(Template!$M$3:$M$619,Template!$D234,Template!$AC$3:$AC$619))</f>
        <v/>
      </c>
      <c r="Y234" s="17" t="str">
        <f>IFERROR(VLOOKUP(Template!$M234,Template!$D$3:$G$619,MATCH("EmployeeJobTitle",Template!$D$2:$G$2,0),FALSE),"NA")</f>
        <v>GERENTE DE LOJA</v>
      </c>
      <c r="Z234" s="17" t="str">
        <f>IFERROR(VLOOKUP(Template!$M234,Template!$D$3:$G$619,MATCH("EmployeeGroup",Template!$D$2:$G$2,0),FALSE),"NA")</f>
        <v>GERENTE</v>
      </c>
      <c r="AA234" s="17" t="str">
        <f>IFERROR(VLOOKUP(Template!$M234,Template!$D$3:$V$619,MATCH("Layer",Template!$D$2:$V$2,0),FALSE),"NA")</f>
        <v>N3</v>
      </c>
      <c r="AB234" s="21">
        <f>VLOOKUP(Template!$M234,Template!$D$3:$F$619,MATCH("InternalGrade",Template!$D$2:$F$2,0),FALSE)-Template!$F234</f>
        <v>0</v>
      </c>
      <c r="AC234" s="17">
        <f>IF(Template!$AB234&lt;=1, 0.8,IF(Template!$AB234=2,0.4,IF(Template!$AB234=3,0.2,IF(Template!$AB234=4,0.1,IF(Template!$AB234&gt;=5,0.05,"erro")))))</f>
        <v>0.8</v>
      </c>
      <c r="AD234" s="17" t="b">
        <f>Template!$D234=Template!$M234</f>
        <v>0</v>
      </c>
      <c r="AE234" s="12" t="s">
        <v>58</v>
      </c>
    </row>
    <row r="235" ht="15.75" customHeight="1">
      <c r="A235" s="7" t="s">
        <v>190</v>
      </c>
      <c r="B235" s="7" t="s">
        <v>209</v>
      </c>
      <c r="C235" s="7" t="s">
        <v>217</v>
      </c>
      <c r="D235" s="13">
        <v>19397.0</v>
      </c>
      <c r="E235" s="7" t="s">
        <v>196</v>
      </c>
      <c r="F235" s="13"/>
      <c r="G235" s="14" t="s">
        <v>63</v>
      </c>
      <c r="H235" s="7" t="s">
        <v>64</v>
      </c>
      <c r="I235" s="7" t="s">
        <v>65</v>
      </c>
      <c r="J235" s="7" t="s">
        <v>70</v>
      </c>
      <c r="K235" s="15">
        <v>44245.0</v>
      </c>
      <c r="L235" s="15">
        <v>29066.0</v>
      </c>
      <c r="M235" s="13">
        <v>15062.0</v>
      </c>
      <c r="N235" s="7">
        <v>2167.0</v>
      </c>
      <c r="O235" s="7"/>
      <c r="P235" s="7">
        <v>13.33</v>
      </c>
      <c r="Q235" s="7"/>
      <c r="R235" s="20"/>
      <c r="S235" s="7"/>
      <c r="T235" s="20"/>
      <c r="U235" s="16">
        <f>SUM(Template!$N235:$O235)*Template!$P235+Template!$Q235</f>
        <v>28886.11</v>
      </c>
      <c r="V235" s="17" t="str">
        <f>IF(Template!$M235="CONSELHO","N",IF(Template!$AA235="N","N1",IF(Template!$AA235="N1","N2",IF(Template!$AA235="N2","N3",IF(Template!$AA235="N3","N4",IF(Template!$AA235="N4","N5",IF(Template!$AA235="N5","N6",IF(Template!$AA235="N6","N7",IF(Template!$AA235="N7","N8",IF(Template!$AA235="N8","N9",IF(Template!$AA235="N9","N10","NA")))))))))))</f>
        <v>N4</v>
      </c>
      <c r="W235" s="17">
        <f>COUNTIF(Template!$M$3:$M$619,Template!$D235)</f>
        <v>0</v>
      </c>
      <c r="X235" s="17" t="str">
        <f>IF(Template!$F235="","",SUMIF(Template!$M$3:$M$619,Template!$D235,Template!$AC$3:$AC$619))</f>
        <v/>
      </c>
      <c r="Y235" s="17" t="str">
        <f>IFERROR(VLOOKUP(Template!$M235,Template!$D$3:$G$619,MATCH("EmployeeJobTitle",Template!$D$2:$G$2,0),FALSE),"NA")</f>
        <v>GERENTE DE LOJA</v>
      </c>
      <c r="Z235" s="17" t="str">
        <f>IFERROR(VLOOKUP(Template!$M235,Template!$D$3:$G$619,MATCH("EmployeeGroup",Template!$D$2:$G$2,0),FALSE),"NA")</f>
        <v>GERENTE</v>
      </c>
      <c r="AA235" s="17" t="str">
        <f>IFERROR(VLOOKUP(Template!$M235,Template!$D$3:$V$619,MATCH("Layer",Template!$D$2:$V$2,0),FALSE),"NA")</f>
        <v>N3</v>
      </c>
      <c r="AB235" s="21">
        <f>VLOOKUP(Template!$M235,Template!$D$3:$F$619,MATCH("InternalGrade",Template!$D$2:$F$2,0),FALSE)-Template!$F235</f>
        <v>0</v>
      </c>
      <c r="AC235" s="17">
        <f>IF(Template!$AB235&lt;=1, 0.8,IF(Template!$AB235=2,0.4,IF(Template!$AB235=3,0.2,IF(Template!$AB235=4,0.1,IF(Template!$AB235&gt;=5,0.05,"erro")))))</f>
        <v>0.8</v>
      </c>
      <c r="AD235" s="17" t="b">
        <f>Template!$D235=Template!$M235</f>
        <v>0</v>
      </c>
      <c r="AE235" s="12" t="s">
        <v>58</v>
      </c>
    </row>
    <row r="236" ht="15.75" customHeight="1">
      <c r="A236" s="7" t="s">
        <v>190</v>
      </c>
      <c r="B236" s="7" t="s">
        <v>209</v>
      </c>
      <c r="C236" s="7" t="s">
        <v>217</v>
      </c>
      <c r="D236" s="13">
        <v>24256.0</v>
      </c>
      <c r="E236" s="7" t="s">
        <v>198</v>
      </c>
      <c r="F236" s="13"/>
      <c r="G236" s="14" t="s">
        <v>63</v>
      </c>
      <c r="H236" s="7" t="s">
        <v>64</v>
      </c>
      <c r="I236" s="7" t="s">
        <v>65</v>
      </c>
      <c r="J236" s="7" t="s">
        <v>70</v>
      </c>
      <c r="K236" s="15">
        <v>45170.0</v>
      </c>
      <c r="L236" s="15">
        <v>37823.0</v>
      </c>
      <c r="M236" s="13">
        <v>15062.0</v>
      </c>
      <c r="N236" s="7">
        <v>1700.0</v>
      </c>
      <c r="O236" s="7"/>
      <c r="P236" s="7">
        <v>13.33</v>
      </c>
      <c r="Q236" s="7"/>
      <c r="R236" s="20"/>
      <c r="S236" s="7"/>
      <c r="T236" s="20"/>
      <c r="U236" s="16">
        <f>SUM(Template!$N236:$O236)*Template!$P236+Template!$Q236</f>
        <v>22661</v>
      </c>
      <c r="V236" s="17" t="str">
        <f>IF(Template!$M236="CONSELHO","N",IF(Template!$AA236="N","N1",IF(Template!$AA236="N1","N2",IF(Template!$AA236="N2","N3",IF(Template!$AA236="N3","N4",IF(Template!$AA236="N4","N5",IF(Template!$AA236="N5","N6",IF(Template!$AA236="N6","N7",IF(Template!$AA236="N7","N8",IF(Template!$AA236="N8","N9",IF(Template!$AA236="N9","N10","NA")))))))))))</f>
        <v>N4</v>
      </c>
      <c r="W236" s="17">
        <f>COUNTIF(Template!$M$3:$M$619,Template!$D236)</f>
        <v>0</v>
      </c>
      <c r="X236" s="17" t="str">
        <f>IF(Template!$F236="","",SUMIF(Template!$M$3:$M$619,Template!$D236,Template!$AC$3:$AC$619))</f>
        <v/>
      </c>
      <c r="Y236" s="17" t="str">
        <f>IFERROR(VLOOKUP(Template!$M236,Template!$D$3:$G$619,MATCH("EmployeeJobTitle",Template!$D$2:$G$2,0),FALSE),"NA")</f>
        <v>GERENTE DE LOJA</v>
      </c>
      <c r="Z236" s="17" t="str">
        <f>IFERROR(VLOOKUP(Template!$M236,Template!$D$3:$G$619,MATCH("EmployeeGroup",Template!$D$2:$G$2,0),FALSE),"NA")</f>
        <v>GERENTE</v>
      </c>
      <c r="AA236" s="17" t="str">
        <f>IFERROR(VLOOKUP(Template!$M236,Template!$D$3:$V$619,MATCH("Layer",Template!$D$2:$V$2,0),FALSE),"NA")</f>
        <v>N3</v>
      </c>
      <c r="AB236" s="21">
        <f>VLOOKUP(Template!$M236,Template!$D$3:$F$619,MATCH("InternalGrade",Template!$D$2:$F$2,0),FALSE)-Template!$F236</f>
        <v>0</v>
      </c>
      <c r="AC236" s="17">
        <f>IF(Template!$AB236&lt;=1, 0.8,IF(Template!$AB236=2,0.4,IF(Template!$AB236=3,0.2,IF(Template!$AB236=4,0.1,IF(Template!$AB236&gt;=5,0.05,"erro")))))</f>
        <v>0.8</v>
      </c>
      <c r="AD236" s="17" t="b">
        <f>Template!$D236=Template!$M236</f>
        <v>0</v>
      </c>
      <c r="AE236" s="12" t="s">
        <v>58</v>
      </c>
    </row>
    <row r="237" ht="15.75" customHeight="1">
      <c r="A237" s="7" t="s">
        <v>190</v>
      </c>
      <c r="B237" s="7" t="s">
        <v>209</v>
      </c>
      <c r="C237" s="7" t="s">
        <v>217</v>
      </c>
      <c r="D237" s="13">
        <v>25254.0</v>
      </c>
      <c r="E237" s="7" t="s">
        <v>193</v>
      </c>
      <c r="F237" s="13"/>
      <c r="G237" s="14" t="s">
        <v>63</v>
      </c>
      <c r="H237" s="7" t="s">
        <v>64</v>
      </c>
      <c r="I237" s="7" t="s">
        <v>65</v>
      </c>
      <c r="J237" s="7" t="s">
        <v>70</v>
      </c>
      <c r="K237" s="15">
        <v>45509.0</v>
      </c>
      <c r="L237" s="15">
        <v>30552.0</v>
      </c>
      <c r="M237" s="13">
        <v>15062.0</v>
      </c>
      <c r="N237" s="7"/>
      <c r="O237" s="7"/>
      <c r="P237" s="7">
        <v>13.33</v>
      </c>
      <c r="Q237" s="7"/>
      <c r="R237" s="20"/>
      <c r="S237" s="7"/>
      <c r="T237" s="20"/>
      <c r="U237" s="16">
        <f>SUM(Template!$N237:$O237)*Template!$P237+Template!$Q237</f>
        <v>0</v>
      </c>
      <c r="V237" s="17" t="str">
        <f>IF(Template!$M237="CONSELHO","N",IF(Template!$AA237="N","N1",IF(Template!$AA237="N1","N2",IF(Template!$AA237="N2","N3",IF(Template!$AA237="N3","N4",IF(Template!$AA237="N4","N5",IF(Template!$AA237="N5","N6",IF(Template!$AA237="N6","N7",IF(Template!$AA237="N7","N8",IF(Template!$AA237="N8","N9",IF(Template!$AA237="N9","N10","NA")))))))))))</f>
        <v>N4</v>
      </c>
      <c r="W237" s="17">
        <f>COUNTIF(Template!$M$3:$M$619,Template!$D237)</f>
        <v>0</v>
      </c>
      <c r="X237" s="17" t="str">
        <f>IF(Template!$F237="","",SUMIF(Template!$M$3:$M$619,Template!$D237,Template!$AC$3:$AC$619))</f>
        <v/>
      </c>
      <c r="Y237" s="17" t="str">
        <f>IFERROR(VLOOKUP(Template!$M237,Template!$D$3:$G$619,MATCH("EmployeeJobTitle",Template!$D$2:$G$2,0),FALSE),"NA")</f>
        <v>GERENTE DE LOJA</v>
      </c>
      <c r="Z237" s="17" t="str">
        <f>IFERROR(VLOOKUP(Template!$M237,Template!$D$3:$G$619,MATCH("EmployeeGroup",Template!$D$2:$G$2,0),FALSE),"NA")</f>
        <v>GERENTE</v>
      </c>
      <c r="AA237" s="17" t="str">
        <f>IFERROR(VLOOKUP(Template!$M237,Template!$D$3:$V$619,MATCH("Layer",Template!$D$2:$V$2,0),FALSE),"NA")</f>
        <v>N3</v>
      </c>
      <c r="AB237" s="21">
        <f>VLOOKUP(Template!$M237,Template!$D$3:$F$619,MATCH("InternalGrade",Template!$D$2:$F$2,0),FALSE)-Template!$F237</f>
        <v>0</v>
      </c>
      <c r="AC237" s="17">
        <f>IF(Template!$AB237&lt;=1, 0.8,IF(Template!$AB237=2,0.4,IF(Template!$AB237=3,0.2,IF(Template!$AB237=4,0.1,IF(Template!$AB237&gt;=5,0.05,"erro")))))</f>
        <v>0.8</v>
      </c>
      <c r="AD237" s="17" t="b">
        <f>Template!$D237=Template!$M237</f>
        <v>0</v>
      </c>
      <c r="AE237" s="12" t="s">
        <v>58</v>
      </c>
    </row>
    <row r="238" ht="15.75" customHeight="1">
      <c r="A238" s="7" t="s">
        <v>190</v>
      </c>
      <c r="B238" s="7" t="s">
        <v>209</v>
      </c>
      <c r="C238" s="7" t="s">
        <v>217</v>
      </c>
      <c r="D238" s="13">
        <v>15062.0</v>
      </c>
      <c r="E238" s="7" t="s">
        <v>199</v>
      </c>
      <c r="F238" s="13"/>
      <c r="G238" s="22" t="s">
        <v>200</v>
      </c>
      <c r="H238" s="7" t="s">
        <v>64</v>
      </c>
      <c r="I238" s="7" t="s">
        <v>65</v>
      </c>
      <c r="J238" s="7" t="s">
        <v>70</v>
      </c>
      <c r="K238" s="15">
        <v>42510.0</v>
      </c>
      <c r="L238" s="15">
        <v>31904.0</v>
      </c>
      <c r="M238" s="13">
        <v>18766.0</v>
      </c>
      <c r="N238" s="7">
        <v>6445.0</v>
      </c>
      <c r="O238" s="7"/>
      <c r="P238" s="7">
        <v>13.33</v>
      </c>
      <c r="Q238" s="7"/>
      <c r="R238" s="20"/>
      <c r="S238" s="7"/>
      <c r="T238" s="20"/>
      <c r="U238" s="16">
        <f>SUM(Template!$N238:$O238)*Template!$P238+Template!$Q238</f>
        <v>85911.85</v>
      </c>
      <c r="V238" s="17" t="str">
        <f>IF(Template!$M238="CONSELHO","N",IF(Template!$AA238="N","N1",IF(Template!$AA238="N1","N2",IF(Template!$AA238="N2","N3",IF(Template!$AA238="N3","N4",IF(Template!$AA238="N4","N5",IF(Template!$AA238="N5","N6",IF(Template!$AA238="N6","N7",IF(Template!$AA238="N7","N8",IF(Template!$AA238="N8","N9",IF(Template!$AA238="N9","N10","NA")))))))))))</f>
        <v>N3</v>
      </c>
      <c r="W238" s="17">
        <f>COUNTIF(Template!$M$3:$M$619,Template!$D238)</f>
        <v>11</v>
      </c>
      <c r="X238" s="17" t="str">
        <f>IF(Template!$F238="","",SUMIF(Template!$M$3:$M$619,Template!$D238,Template!$AC$3:$AC$619))</f>
        <v/>
      </c>
      <c r="Y238" s="17" t="str">
        <f>IFERROR(VLOOKUP(Template!$M238,Template!$D$3:$G$619,MATCH("EmployeeJobTitle",Template!$D$2:$G$2,0),FALSE),"NA")</f>
        <v>GERENTE COMERCIAL</v>
      </c>
      <c r="Z238" s="17" t="str">
        <f>IFERROR(VLOOKUP(Template!$M238,Template!$D$3:$G$619,MATCH("EmployeeGroup",Template!$D$2:$G$2,0),FALSE),"NA")</f>
        <v>Coordenador</v>
      </c>
      <c r="AA238" s="17" t="str">
        <f>IFERROR(VLOOKUP(Template!$M238,Template!$D$3:$V$619,MATCH("Layer",Template!$D$2:$V$2,0),FALSE),"NA")</f>
        <v>N2</v>
      </c>
      <c r="AB238" s="21">
        <f>VLOOKUP(Template!$M238,Template!$D$3:$F$619,MATCH("InternalGrade",Template!$D$2:$F$2,0),FALSE)-Template!$F238</f>
        <v>19</v>
      </c>
      <c r="AC238" s="17">
        <f>IF(Template!$AB238&lt;=1, 0.8,IF(Template!$AB238=2,0.4,IF(Template!$AB238=3,0.2,IF(Template!$AB238=4,0.1,IF(Template!$AB238&gt;=5,0.05,"erro")))))</f>
        <v>0.05</v>
      </c>
      <c r="AD238" s="17" t="b">
        <f>Template!$D238=Template!$M238</f>
        <v>0</v>
      </c>
      <c r="AE238" s="12" t="s">
        <v>58</v>
      </c>
    </row>
    <row r="239" ht="15.75" customHeight="1">
      <c r="A239" s="7" t="s">
        <v>190</v>
      </c>
      <c r="B239" s="7" t="s">
        <v>209</v>
      </c>
      <c r="C239" s="7" t="s">
        <v>218</v>
      </c>
      <c r="D239" s="13">
        <v>23013.0</v>
      </c>
      <c r="E239" s="7" t="s">
        <v>193</v>
      </c>
      <c r="F239" s="13"/>
      <c r="G239" s="14" t="s">
        <v>63</v>
      </c>
      <c r="H239" s="7" t="s">
        <v>64</v>
      </c>
      <c r="I239" s="7" t="s">
        <v>65</v>
      </c>
      <c r="J239" s="7" t="s">
        <v>70</v>
      </c>
      <c r="K239" s="15">
        <v>44896.0</v>
      </c>
      <c r="L239" s="15">
        <v>35849.0</v>
      </c>
      <c r="M239" s="13">
        <v>25171.0</v>
      </c>
      <c r="N239" s="7"/>
      <c r="O239" s="7"/>
      <c r="P239" s="7">
        <v>13.33</v>
      </c>
      <c r="Q239" s="7"/>
      <c r="R239" s="20"/>
      <c r="S239" s="7"/>
      <c r="T239" s="20"/>
      <c r="U239" s="16">
        <f>SUM(Template!$N239:$O239)*Template!$P239+Template!$Q239</f>
        <v>0</v>
      </c>
      <c r="V239" s="17" t="str">
        <f>IF(Template!$M239="CONSELHO","N",IF(Template!$AA239="N","N1",IF(Template!$AA239="N1","N2",IF(Template!$AA239="N2","N3",IF(Template!$AA239="N3","N4",IF(Template!$AA239="N4","N5",IF(Template!$AA239="N5","N6",IF(Template!$AA239="N6","N7",IF(Template!$AA239="N7","N8",IF(Template!$AA239="N8","N9",IF(Template!$AA239="N9","N10","NA")))))))))))</f>
        <v>N4</v>
      </c>
      <c r="W239" s="17">
        <f>COUNTIF(Template!$M$3:$M$619,Template!$D239)</f>
        <v>0</v>
      </c>
      <c r="X239" s="17" t="str">
        <f>IF(Template!$F239="","",SUMIF(Template!$M$3:$M$619,Template!$D239,Template!$AC$3:$AC$619))</f>
        <v/>
      </c>
      <c r="Y239" s="17" t="str">
        <f>IFERROR(VLOOKUP(Template!$M239,Template!$D$3:$G$619,MATCH("EmployeeJobTitle",Template!$D$2:$G$2,0),FALSE),"NA")</f>
        <v>GERENTE DE LOJA PL</v>
      </c>
      <c r="Z239" s="17" t="str">
        <f>IFERROR(VLOOKUP(Template!$M239,Template!$D$3:$G$619,MATCH("EmployeeGroup",Template!$D$2:$G$2,0),FALSE),"NA")</f>
        <v>GERENTE</v>
      </c>
      <c r="AA239" s="17" t="str">
        <f>IFERROR(VLOOKUP(Template!$M239,Template!$D$3:$V$619,MATCH("Layer",Template!$D$2:$V$2,0),FALSE),"NA")</f>
        <v>N3</v>
      </c>
      <c r="AB239" s="21">
        <f>VLOOKUP(Template!$M239,Template!$D$3:$F$619,MATCH("InternalGrade",Template!$D$2:$F$2,0),FALSE)-Template!$F239</f>
        <v>0</v>
      </c>
      <c r="AC239" s="17">
        <f>IF(Template!$AB239&lt;=1, 0.8,IF(Template!$AB239=2,0.4,IF(Template!$AB239=3,0.2,IF(Template!$AB239=4,0.1,IF(Template!$AB239&gt;=5,0.05,"erro")))))</f>
        <v>0.8</v>
      </c>
      <c r="AD239" s="17" t="b">
        <f>Template!$D239=Template!$M239</f>
        <v>0</v>
      </c>
      <c r="AE239" s="12" t="s">
        <v>58</v>
      </c>
    </row>
    <row r="240" ht="15.75" customHeight="1">
      <c r="A240" s="7" t="s">
        <v>190</v>
      </c>
      <c r="B240" s="7" t="s">
        <v>209</v>
      </c>
      <c r="C240" s="7" t="s">
        <v>218</v>
      </c>
      <c r="D240" s="13">
        <v>16539.0</v>
      </c>
      <c r="E240" s="7" t="s">
        <v>193</v>
      </c>
      <c r="F240" s="13"/>
      <c r="G240" s="14" t="s">
        <v>63</v>
      </c>
      <c r="H240" s="7" t="s">
        <v>64</v>
      </c>
      <c r="I240" s="7" t="s">
        <v>65</v>
      </c>
      <c r="J240" s="7" t="s">
        <v>70</v>
      </c>
      <c r="K240" s="15">
        <v>43070.0</v>
      </c>
      <c r="L240" s="15">
        <v>31353.0</v>
      </c>
      <c r="M240" s="13">
        <v>25171.0</v>
      </c>
      <c r="N240" s="7"/>
      <c r="O240" s="7"/>
      <c r="P240" s="7">
        <v>13.33</v>
      </c>
      <c r="Q240" s="7"/>
      <c r="R240" s="20"/>
      <c r="S240" s="7"/>
      <c r="T240" s="20"/>
      <c r="U240" s="16">
        <f>SUM(Template!$N240:$O240)*Template!$P240+Template!$Q240</f>
        <v>0</v>
      </c>
      <c r="V240" s="17" t="str">
        <f>IF(Template!$M240="CONSELHO","N",IF(Template!$AA240="N","N1",IF(Template!$AA240="N1","N2",IF(Template!$AA240="N2","N3",IF(Template!$AA240="N3","N4",IF(Template!$AA240="N4","N5",IF(Template!$AA240="N5","N6",IF(Template!$AA240="N6","N7",IF(Template!$AA240="N7","N8",IF(Template!$AA240="N8","N9",IF(Template!$AA240="N9","N10","NA")))))))))))</f>
        <v>N4</v>
      </c>
      <c r="W240" s="17">
        <f>COUNTIF(Template!$M$3:$M$619,Template!$D240)</f>
        <v>0</v>
      </c>
      <c r="X240" s="17" t="str">
        <f>IF(Template!$F240="","",SUMIF(Template!$M$3:$M$619,Template!$D240,Template!$AC$3:$AC$619))</f>
        <v/>
      </c>
      <c r="Y240" s="17" t="str">
        <f>IFERROR(VLOOKUP(Template!$M240,Template!$D$3:$G$619,MATCH("EmployeeJobTitle",Template!$D$2:$G$2,0),FALSE),"NA")</f>
        <v>GERENTE DE LOJA PL</v>
      </c>
      <c r="Z240" s="17" t="str">
        <f>IFERROR(VLOOKUP(Template!$M240,Template!$D$3:$G$619,MATCH("EmployeeGroup",Template!$D$2:$G$2,0),FALSE),"NA")</f>
        <v>GERENTE</v>
      </c>
      <c r="AA240" s="17" t="str">
        <f>IFERROR(VLOOKUP(Template!$M240,Template!$D$3:$V$619,MATCH("Layer",Template!$D$2:$V$2,0),FALSE),"NA")</f>
        <v>N3</v>
      </c>
      <c r="AB240" s="21">
        <f>VLOOKUP(Template!$M240,Template!$D$3:$F$619,MATCH("InternalGrade",Template!$D$2:$F$2,0),FALSE)-Template!$F240</f>
        <v>0</v>
      </c>
      <c r="AC240" s="17">
        <f>IF(Template!$AB240&lt;=1, 0.8,IF(Template!$AB240=2,0.4,IF(Template!$AB240=3,0.2,IF(Template!$AB240=4,0.1,IF(Template!$AB240&gt;=5,0.05,"erro")))))</f>
        <v>0.8</v>
      </c>
      <c r="AD240" s="17" t="b">
        <f>Template!$D240=Template!$M240</f>
        <v>0</v>
      </c>
      <c r="AE240" s="12" t="s">
        <v>58</v>
      </c>
    </row>
    <row r="241" ht="15.75" customHeight="1">
      <c r="A241" s="7" t="s">
        <v>190</v>
      </c>
      <c r="B241" s="7" t="s">
        <v>209</v>
      </c>
      <c r="C241" s="7" t="s">
        <v>218</v>
      </c>
      <c r="D241" s="13">
        <v>25158.0</v>
      </c>
      <c r="E241" s="7" t="s">
        <v>196</v>
      </c>
      <c r="F241" s="13"/>
      <c r="G241" s="14" t="s">
        <v>63</v>
      </c>
      <c r="H241" s="7" t="s">
        <v>64</v>
      </c>
      <c r="I241" s="7" t="s">
        <v>65</v>
      </c>
      <c r="J241" s="7" t="s">
        <v>70</v>
      </c>
      <c r="K241" s="15">
        <v>45474.0</v>
      </c>
      <c r="L241" s="15">
        <v>37380.0</v>
      </c>
      <c r="M241" s="13">
        <v>25171.0</v>
      </c>
      <c r="N241" s="7">
        <v>1893.0</v>
      </c>
      <c r="O241" s="7"/>
      <c r="P241" s="7">
        <v>13.33</v>
      </c>
      <c r="Q241" s="7"/>
      <c r="R241" s="20"/>
      <c r="S241" s="7"/>
      <c r="T241" s="20"/>
      <c r="U241" s="16">
        <f>SUM(Template!$N241:$O241)*Template!$P241+Template!$Q241</f>
        <v>25233.69</v>
      </c>
      <c r="V241" s="17" t="str">
        <f>IF(Template!$M241="CONSELHO","N",IF(Template!$AA241="N","N1",IF(Template!$AA241="N1","N2",IF(Template!$AA241="N2","N3",IF(Template!$AA241="N3","N4",IF(Template!$AA241="N4","N5",IF(Template!$AA241="N5","N6",IF(Template!$AA241="N6","N7",IF(Template!$AA241="N7","N8",IF(Template!$AA241="N8","N9",IF(Template!$AA241="N9","N10","NA")))))))))))</f>
        <v>N4</v>
      </c>
      <c r="W241" s="17">
        <f>COUNTIF(Template!$M$3:$M$619,Template!$D241)</f>
        <v>0</v>
      </c>
      <c r="X241" s="17" t="str">
        <f>IF(Template!$F241="","",SUMIF(Template!$M$3:$M$619,Template!$D241,Template!$AC$3:$AC$619))</f>
        <v/>
      </c>
      <c r="Y241" s="17" t="str">
        <f>IFERROR(VLOOKUP(Template!$M241,Template!$D$3:$G$619,MATCH("EmployeeJobTitle",Template!$D$2:$G$2,0),FALSE),"NA")</f>
        <v>GERENTE DE LOJA PL</v>
      </c>
      <c r="Z241" s="17" t="str">
        <f>IFERROR(VLOOKUP(Template!$M241,Template!$D$3:$G$619,MATCH("EmployeeGroup",Template!$D$2:$G$2,0),FALSE),"NA")</f>
        <v>GERENTE</v>
      </c>
      <c r="AA241" s="17" t="str">
        <f>IFERROR(VLOOKUP(Template!$M241,Template!$D$3:$V$619,MATCH("Layer",Template!$D$2:$V$2,0),FALSE),"NA")</f>
        <v>N3</v>
      </c>
      <c r="AB241" s="21">
        <f>VLOOKUP(Template!$M241,Template!$D$3:$F$619,MATCH("InternalGrade",Template!$D$2:$F$2,0),FALSE)-Template!$F241</f>
        <v>0</v>
      </c>
      <c r="AC241" s="17">
        <f>IF(Template!$AB241&lt;=1, 0.8,IF(Template!$AB241=2,0.4,IF(Template!$AB241=3,0.2,IF(Template!$AB241=4,0.1,IF(Template!$AB241&gt;=5,0.05,"erro")))))</f>
        <v>0.8</v>
      </c>
      <c r="AD241" s="17" t="b">
        <f>Template!$D241=Template!$M241</f>
        <v>0</v>
      </c>
      <c r="AE241" s="12" t="s">
        <v>58</v>
      </c>
    </row>
    <row r="242" ht="15.75" customHeight="1">
      <c r="A242" s="7" t="s">
        <v>190</v>
      </c>
      <c r="B242" s="7" t="s">
        <v>209</v>
      </c>
      <c r="C242" s="7" t="s">
        <v>218</v>
      </c>
      <c r="D242" s="13">
        <v>25171.0</v>
      </c>
      <c r="E242" s="7" t="s">
        <v>219</v>
      </c>
      <c r="F242" s="13"/>
      <c r="G242" s="22" t="s">
        <v>200</v>
      </c>
      <c r="H242" s="7" t="s">
        <v>64</v>
      </c>
      <c r="I242" s="7" t="s">
        <v>65</v>
      </c>
      <c r="J242" s="7" t="s">
        <v>70</v>
      </c>
      <c r="K242" s="15">
        <v>45477.0</v>
      </c>
      <c r="L242" s="15">
        <v>29922.0</v>
      </c>
      <c r="M242" s="13">
        <v>18766.0</v>
      </c>
      <c r="N242" s="7">
        <v>5500.0</v>
      </c>
      <c r="O242" s="7"/>
      <c r="P242" s="7">
        <v>13.33</v>
      </c>
      <c r="Q242" s="7"/>
      <c r="R242" s="20"/>
      <c r="S242" s="7"/>
      <c r="T242" s="20"/>
      <c r="U242" s="16">
        <f>SUM(Template!$N242:$O242)*Template!$P242+Template!$Q242</f>
        <v>73315</v>
      </c>
      <c r="V242" s="17" t="str">
        <f>IF(Template!$M242="CONSELHO","N",IF(Template!$AA242="N","N1",IF(Template!$AA242="N1","N2",IF(Template!$AA242="N2","N3",IF(Template!$AA242="N3","N4",IF(Template!$AA242="N4","N5",IF(Template!$AA242="N5","N6",IF(Template!$AA242="N6","N7",IF(Template!$AA242="N7","N8",IF(Template!$AA242="N8","N9",IF(Template!$AA242="N9","N10","NA")))))))))))</f>
        <v>N3</v>
      </c>
      <c r="W242" s="17">
        <f>COUNTIF(Template!$M$3:$M$619,Template!$D242)</f>
        <v>7</v>
      </c>
      <c r="X242" s="17" t="str">
        <f>IF(Template!$F242="","",SUMIF(Template!$M$3:$M$619,Template!$D242,Template!$AC$3:$AC$619))</f>
        <v/>
      </c>
      <c r="Y242" s="17" t="str">
        <f>IFERROR(VLOOKUP(Template!$M242,Template!$D$3:$G$619,MATCH("EmployeeJobTitle",Template!$D$2:$G$2,0),FALSE),"NA")</f>
        <v>GERENTE COMERCIAL</v>
      </c>
      <c r="Z242" s="17" t="str">
        <f>IFERROR(VLOOKUP(Template!$M242,Template!$D$3:$G$619,MATCH("EmployeeGroup",Template!$D$2:$G$2,0),FALSE),"NA")</f>
        <v>Coordenador</v>
      </c>
      <c r="AA242" s="17" t="str">
        <f>IFERROR(VLOOKUP(Template!$M242,Template!$D$3:$V$619,MATCH("Layer",Template!$D$2:$V$2,0),FALSE),"NA")</f>
        <v>N2</v>
      </c>
      <c r="AB242" s="21">
        <f>VLOOKUP(Template!$M242,Template!$D$3:$F$619,MATCH("InternalGrade",Template!$D$2:$F$2,0),FALSE)-Template!$F242</f>
        <v>19</v>
      </c>
      <c r="AC242" s="17">
        <f>IF(Template!$AB242&lt;=1, 0.8,IF(Template!$AB242=2,0.4,IF(Template!$AB242=3,0.2,IF(Template!$AB242=4,0.1,IF(Template!$AB242&gt;=5,0.05,"erro")))))</f>
        <v>0.05</v>
      </c>
      <c r="AD242" s="17" t="b">
        <f>Template!$D242=Template!$M242</f>
        <v>0</v>
      </c>
      <c r="AE242" s="12" t="s">
        <v>58</v>
      </c>
    </row>
    <row r="243" ht="15.75" customHeight="1">
      <c r="A243" s="7" t="s">
        <v>190</v>
      </c>
      <c r="B243" s="7" t="s">
        <v>209</v>
      </c>
      <c r="C243" s="7" t="s">
        <v>218</v>
      </c>
      <c r="D243" s="13">
        <v>25041.0</v>
      </c>
      <c r="E243" s="7" t="s">
        <v>193</v>
      </c>
      <c r="F243" s="13"/>
      <c r="G243" s="14" t="s">
        <v>63</v>
      </c>
      <c r="H243" s="7" t="s">
        <v>64</v>
      </c>
      <c r="I243" s="7" t="s">
        <v>65</v>
      </c>
      <c r="J243" s="7" t="s">
        <v>70</v>
      </c>
      <c r="K243" s="15">
        <v>45418.0</v>
      </c>
      <c r="L243" s="15">
        <v>37579.0</v>
      </c>
      <c r="M243" s="13">
        <v>25171.0</v>
      </c>
      <c r="N243" s="7"/>
      <c r="O243" s="7"/>
      <c r="P243" s="7">
        <v>13.33</v>
      </c>
      <c r="Q243" s="7"/>
      <c r="R243" s="20"/>
      <c r="S243" s="7"/>
      <c r="T243" s="20"/>
      <c r="U243" s="16">
        <f>SUM(Template!$N243:$O243)*Template!$P243+Template!$Q243</f>
        <v>0</v>
      </c>
      <c r="V243" s="17" t="str">
        <f>IF(Template!$M243="CONSELHO","N",IF(Template!$AA243="N","N1",IF(Template!$AA243="N1","N2",IF(Template!$AA243="N2","N3",IF(Template!$AA243="N3","N4",IF(Template!$AA243="N4","N5",IF(Template!$AA243="N5","N6",IF(Template!$AA243="N6","N7",IF(Template!$AA243="N7","N8",IF(Template!$AA243="N8","N9",IF(Template!$AA243="N9","N10","NA")))))))))))</f>
        <v>N4</v>
      </c>
      <c r="W243" s="17">
        <f>COUNTIF(Template!$M$3:$M$619,Template!$D243)</f>
        <v>0</v>
      </c>
      <c r="X243" s="17" t="str">
        <f>IF(Template!$F243="","",SUMIF(Template!$M$3:$M$619,Template!$D243,Template!$AC$3:$AC$619))</f>
        <v/>
      </c>
      <c r="Y243" s="17" t="str">
        <f>IFERROR(VLOOKUP(Template!$M243,Template!$D$3:$G$619,MATCH("EmployeeJobTitle",Template!$D$2:$G$2,0),FALSE),"NA")</f>
        <v>GERENTE DE LOJA PL</v>
      </c>
      <c r="Z243" s="17" t="str">
        <f>IFERROR(VLOOKUP(Template!$M243,Template!$D$3:$G$619,MATCH("EmployeeGroup",Template!$D$2:$G$2,0),FALSE),"NA")</f>
        <v>GERENTE</v>
      </c>
      <c r="AA243" s="17" t="str">
        <f>IFERROR(VLOOKUP(Template!$M243,Template!$D$3:$V$619,MATCH("Layer",Template!$D$2:$V$2,0),FALSE),"NA")</f>
        <v>N3</v>
      </c>
      <c r="AB243" s="21">
        <f>VLOOKUP(Template!$M243,Template!$D$3:$F$619,MATCH("InternalGrade",Template!$D$2:$F$2,0),FALSE)-Template!$F243</f>
        <v>0</v>
      </c>
      <c r="AC243" s="17">
        <f>IF(Template!$AB243&lt;=1, 0.8,IF(Template!$AB243=2,0.4,IF(Template!$AB243=3,0.2,IF(Template!$AB243=4,0.1,IF(Template!$AB243&gt;=5,0.05,"erro")))))</f>
        <v>0.8</v>
      </c>
      <c r="AD243" s="17" t="b">
        <f>Template!$D243=Template!$M243</f>
        <v>0</v>
      </c>
      <c r="AE243" s="12" t="s">
        <v>58</v>
      </c>
    </row>
    <row r="244" ht="15.75" customHeight="1">
      <c r="A244" s="7" t="s">
        <v>190</v>
      </c>
      <c r="B244" s="7" t="s">
        <v>209</v>
      </c>
      <c r="C244" s="7" t="s">
        <v>218</v>
      </c>
      <c r="D244" s="13">
        <v>25139.0</v>
      </c>
      <c r="E244" s="7" t="s">
        <v>193</v>
      </c>
      <c r="F244" s="13"/>
      <c r="G244" s="14" t="s">
        <v>63</v>
      </c>
      <c r="H244" s="7" t="s">
        <v>64</v>
      </c>
      <c r="I244" s="7" t="s">
        <v>65</v>
      </c>
      <c r="J244" s="7" t="s">
        <v>70</v>
      </c>
      <c r="K244" s="15">
        <v>45464.0</v>
      </c>
      <c r="L244" s="15">
        <v>30596.0</v>
      </c>
      <c r="M244" s="13">
        <v>25171.0</v>
      </c>
      <c r="N244" s="7"/>
      <c r="O244" s="7"/>
      <c r="P244" s="7">
        <v>13.33</v>
      </c>
      <c r="Q244" s="7"/>
      <c r="R244" s="20"/>
      <c r="S244" s="7"/>
      <c r="T244" s="20"/>
      <c r="U244" s="16">
        <f>SUM(Template!$N244:$O244)*Template!$P244+Template!$Q244</f>
        <v>0</v>
      </c>
      <c r="V244" s="17" t="str">
        <f>IF(Template!$M244="CONSELHO","N",IF(Template!$AA244="N","N1",IF(Template!$AA244="N1","N2",IF(Template!$AA244="N2","N3",IF(Template!$AA244="N3","N4",IF(Template!$AA244="N4","N5",IF(Template!$AA244="N5","N6",IF(Template!$AA244="N6","N7",IF(Template!$AA244="N7","N8",IF(Template!$AA244="N8","N9",IF(Template!$AA244="N9","N10","NA")))))))))))</f>
        <v>N4</v>
      </c>
      <c r="W244" s="17">
        <f>COUNTIF(Template!$M$3:$M$619,Template!$D244)</f>
        <v>0</v>
      </c>
      <c r="X244" s="17" t="str">
        <f>IF(Template!$F244="","",SUMIF(Template!$M$3:$M$619,Template!$D244,Template!$AC$3:$AC$619))</f>
        <v/>
      </c>
      <c r="Y244" s="17" t="str">
        <f>IFERROR(VLOOKUP(Template!$M244,Template!$D$3:$G$619,MATCH("EmployeeJobTitle",Template!$D$2:$G$2,0),FALSE),"NA")</f>
        <v>GERENTE DE LOJA PL</v>
      </c>
      <c r="Z244" s="17" t="str">
        <f>IFERROR(VLOOKUP(Template!$M244,Template!$D$3:$G$619,MATCH("EmployeeGroup",Template!$D$2:$G$2,0),FALSE),"NA")</f>
        <v>GERENTE</v>
      </c>
      <c r="AA244" s="17" t="str">
        <f>IFERROR(VLOOKUP(Template!$M244,Template!$D$3:$V$619,MATCH("Layer",Template!$D$2:$V$2,0),FALSE),"NA")</f>
        <v>N3</v>
      </c>
      <c r="AB244" s="21">
        <f>VLOOKUP(Template!$M244,Template!$D$3:$F$619,MATCH("InternalGrade",Template!$D$2:$F$2,0),FALSE)-Template!$F244</f>
        <v>0</v>
      </c>
      <c r="AC244" s="17">
        <f>IF(Template!$AB244&lt;=1, 0.8,IF(Template!$AB244=2,0.4,IF(Template!$AB244=3,0.2,IF(Template!$AB244=4,0.1,IF(Template!$AB244&gt;=5,0.05,"erro")))))</f>
        <v>0.8</v>
      </c>
      <c r="AD244" s="17" t="b">
        <f>Template!$D244=Template!$M244</f>
        <v>0</v>
      </c>
      <c r="AE244" s="12" t="s">
        <v>58</v>
      </c>
    </row>
    <row r="245" ht="15.75" customHeight="1">
      <c r="A245" s="7" t="s">
        <v>190</v>
      </c>
      <c r="B245" s="7" t="s">
        <v>209</v>
      </c>
      <c r="C245" s="7" t="s">
        <v>218</v>
      </c>
      <c r="D245" s="13">
        <v>19911.0</v>
      </c>
      <c r="E245" s="7" t="s">
        <v>193</v>
      </c>
      <c r="F245" s="13"/>
      <c r="G245" s="14" t="s">
        <v>63</v>
      </c>
      <c r="H245" s="7" t="s">
        <v>64</v>
      </c>
      <c r="I245" s="7" t="s">
        <v>65</v>
      </c>
      <c r="J245" s="7" t="s">
        <v>70</v>
      </c>
      <c r="K245" s="15">
        <v>44503.0</v>
      </c>
      <c r="L245" s="15">
        <v>27909.0</v>
      </c>
      <c r="M245" s="13">
        <v>25171.0</v>
      </c>
      <c r="N245" s="7"/>
      <c r="O245" s="7"/>
      <c r="P245" s="7">
        <v>13.33</v>
      </c>
      <c r="Q245" s="7"/>
      <c r="R245" s="20"/>
      <c r="S245" s="7"/>
      <c r="T245" s="20"/>
      <c r="U245" s="16">
        <f>SUM(Template!$N245:$O245)*Template!$P245+Template!$Q245</f>
        <v>0</v>
      </c>
      <c r="V245" s="17" t="str">
        <f>IF(Template!$M245="CONSELHO","N",IF(Template!$AA245="N","N1",IF(Template!$AA245="N1","N2",IF(Template!$AA245="N2","N3",IF(Template!$AA245="N3","N4",IF(Template!$AA245="N4","N5",IF(Template!$AA245="N5","N6",IF(Template!$AA245="N6","N7",IF(Template!$AA245="N7","N8",IF(Template!$AA245="N8","N9",IF(Template!$AA245="N9","N10","NA")))))))))))</f>
        <v>N4</v>
      </c>
      <c r="W245" s="17">
        <f>COUNTIF(Template!$M$3:$M$619,Template!$D245)</f>
        <v>0</v>
      </c>
      <c r="X245" s="17" t="str">
        <f>IF(Template!$F245="","",SUMIF(Template!$M$3:$M$619,Template!$D245,Template!$AC$3:$AC$619))</f>
        <v/>
      </c>
      <c r="Y245" s="17" t="str">
        <f>IFERROR(VLOOKUP(Template!$M245,Template!$D$3:$G$619,MATCH("EmployeeJobTitle",Template!$D$2:$G$2,0),FALSE),"NA")</f>
        <v>GERENTE DE LOJA PL</v>
      </c>
      <c r="Z245" s="17" t="str">
        <f>IFERROR(VLOOKUP(Template!$M245,Template!$D$3:$G$619,MATCH("EmployeeGroup",Template!$D$2:$G$2,0),FALSE),"NA")</f>
        <v>GERENTE</v>
      </c>
      <c r="AA245" s="17" t="str">
        <f>IFERROR(VLOOKUP(Template!$M245,Template!$D$3:$V$619,MATCH("Layer",Template!$D$2:$V$2,0),FALSE),"NA")</f>
        <v>N3</v>
      </c>
      <c r="AB245" s="21">
        <f>VLOOKUP(Template!$M245,Template!$D$3:$F$619,MATCH("InternalGrade",Template!$D$2:$F$2,0),FALSE)-Template!$F245</f>
        <v>0</v>
      </c>
      <c r="AC245" s="17">
        <f>IF(Template!$AB245&lt;=1, 0.8,IF(Template!$AB245=2,0.4,IF(Template!$AB245=3,0.2,IF(Template!$AB245=4,0.1,IF(Template!$AB245&gt;=5,0.05,"erro")))))</f>
        <v>0.8</v>
      </c>
      <c r="AD245" s="17" t="b">
        <f>Template!$D245=Template!$M245</f>
        <v>0</v>
      </c>
      <c r="AE245" s="12" t="s">
        <v>58</v>
      </c>
    </row>
    <row r="246" ht="15.75" customHeight="1">
      <c r="A246" s="7" t="s">
        <v>190</v>
      </c>
      <c r="B246" s="7" t="s">
        <v>209</v>
      </c>
      <c r="C246" s="7" t="s">
        <v>218</v>
      </c>
      <c r="D246" s="13">
        <v>19700.0</v>
      </c>
      <c r="E246" s="7" t="s">
        <v>203</v>
      </c>
      <c r="F246" s="13"/>
      <c r="G246" s="14" t="s">
        <v>63</v>
      </c>
      <c r="H246" s="7" t="s">
        <v>64</v>
      </c>
      <c r="I246" s="7" t="s">
        <v>65</v>
      </c>
      <c r="J246" s="7" t="s">
        <v>70</v>
      </c>
      <c r="K246" s="15">
        <v>44396.0</v>
      </c>
      <c r="L246" s="15">
        <v>35417.0</v>
      </c>
      <c r="M246" s="13">
        <v>25171.0</v>
      </c>
      <c r="N246" s="7"/>
      <c r="O246" s="7"/>
      <c r="P246" s="7">
        <v>13.33</v>
      </c>
      <c r="Q246" s="7"/>
      <c r="R246" s="20"/>
      <c r="S246" s="7"/>
      <c r="T246" s="20"/>
      <c r="U246" s="16">
        <f>SUM(Template!$N246:$O246)*Template!$P246+Template!$Q246</f>
        <v>0</v>
      </c>
      <c r="V246" s="17" t="str">
        <f>IF(Template!$M246="CONSELHO","N",IF(Template!$AA246="N","N1",IF(Template!$AA246="N1","N2",IF(Template!$AA246="N2","N3",IF(Template!$AA246="N3","N4",IF(Template!$AA246="N4","N5",IF(Template!$AA246="N5","N6",IF(Template!$AA246="N6","N7",IF(Template!$AA246="N7","N8",IF(Template!$AA246="N8","N9",IF(Template!$AA246="N9","N10","NA")))))))))))</f>
        <v>N4</v>
      </c>
      <c r="W246" s="17">
        <f>COUNTIF(Template!$M$3:$M$619,Template!$D246)</f>
        <v>0</v>
      </c>
      <c r="X246" s="17" t="str">
        <f>IF(Template!$F246="","",SUMIF(Template!$M$3:$M$619,Template!$D246,Template!$AC$3:$AC$619))</f>
        <v/>
      </c>
      <c r="Y246" s="17" t="str">
        <f>IFERROR(VLOOKUP(Template!$M246,Template!$D$3:$G$619,MATCH("EmployeeJobTitle",Template!$D$2:$G$2,0),FALSE),"NA")</f>
        <v>GERENTE DE LOJA PL</v>
      </c>
      <c r="Z246" s="17" t="str">
        <f>IFERROR(VLOOKUP(Template!$M246,Template!$D$3:$G$619,MATCH("EmployeeGroup",Template!$D$2:$G$2,0),FALSE),"NA")</f>
        <v>GERENTE</v>
      </c>
      <c r="AA246" s="17" t="str">
        <f>IFERROR(VLOOKUP(Template!$M246,Template!$D$3:$V$619,MATCH("Layer",Template!$D$2:$V$2,0),FALSE),"NA")</f>
        <v>N3</v>
      </c>
      <c r="AB246" s="21">
        <f>VLOOKUP(Template!$M246,Template!$D$3:$F$619,MATCH("InternalGrade",Template!$D$2:$F$2,0),FALSE)-Template!$F246</f>
        <v>0</v>
      </c>
      <c r="AC246" s="17">
        <f>IF(Template!$AB246&lt;=1, 0.8,IF(Template!$AB246=2,0.4,IF(Template!$AB246=3,0.2,IF(Template!$AB246=4,0.1,IF(Template!$AB246&gt;=5,0.05,"erro")))))</f>
        <v>0.8</v>
      </c>
      <c r="AD246" s="17" t="b">
        <f>Template!$D246=Template!$M246</f>
        <v>0</v>
      </c>
      <c r="AE246" s="12" t="s">
        <v>58</v>
      </c>
    </row>
    <row r="247" ht="15.75" customHeight="1">
      <c r="A247" s="7" t="s">
        <v>190</v>
      </c>
      <c r="B247" s="7" t="s">
        <v>160</v>
      </c>
      <c r="C247" s="7" t="s">
        <v>220</v>
      </c>
      <c r="D247" s="13">
        <v>20520.0</v>
      </c>
      <c r="E247" s="7" t="s">
        <v>193</v>
      </c>
      <c r="F247" s="13"/>
      <c r="G247" s="14" t="s">
        <v>63</v>
      </c>
      <c r="H247" s="7" t="s">
        <v>221</v>
      </c>
      <c r="I247" s="7" t="s">
        <v>222</v>
      </c>
      <c r="J247" s="7" t="s">
        <v>70</v>
      </c>
      <c r="K247" s="15">
        <v>44683.0</v>
      </c>
      <c r="L247" s="15">
        <v>30669.0</v>
      </c>
      <c r="M247" s="13">
        <v>18418.0</v>
      </c>
      <c r="N247" s="7"/>
      <c r="O247" s="7"/>
      <c r="P247" s="7">
        <v>13.33</v>
      </c>
      <c r="Q247" s="7"/>
      <c r="R247" s="20"/>
      <c r="S247" s="7"/>
      <c r="T247" s="20"/>
      <c r="U247" s="16">
        <f>SUM(Template!$N247:$O247)*Template!$P247+Template!$Q247</f>
        <v>0</v>
      </c>
      <c r="V247" s="17" t="str">
        <f>IF(Template!$M247="CONSELHO","N",IF(Template!$AA247="N","N1",IF(Template!$AA247="N1","N2",IF(Template!$AA247="N2","N3",IF(Template!$AA247="N3","N4",IF(Template!$AA247="N4","N5",IF(Template!$AA247="N5","N6",IF(Template!$AA247="N6","N7",IF(Template!$AA247="N7","N8",IF(Template!$AA247="N8","N9",IF(Template!$AA247="N9","N10","NA")))))))))))</f>
        <v>N4</v>
      </c>
      <c r="W247" s="17">
        <f>COUNTIF(Template!$M$3:$M$619,Template!$D247)</f>
        <v>0</v>
      </c>
      <c r="X247" s="17" t="str">
        <f>IF(Template!$F247="","",SUMIF(Template!$M$3:$M$619,Template!$D247,Template!$AC$3:$AC$619))</f>
        <v/>
      </c>
      <c r="Y247" s="17" t="str">
        <f>IFERROR(VLOOKUP(Template!$M247,Template!$D$3:$G$619,MATCH("EmployeeJobTitle",Template!$D$2:$G$2,0),FALSE),"NA")</f>
        <v>GERENTE DE LOJA</v>
      </c>
      <c r="Z247" s="17" t="str">
        <f>IFERROR(VLOOKUP(Template!$M247,Template!$D$3:$G$619,MATCH("EmployeeGroup",Template!$D$2:$G$2,0),FALSE),"NA")</f>
        <v>GERENTE</v>
      </c>
      <c r="AA247" s="17" t="str">
        <f>IFERROR(VLOOKUP(Template!$M247,Template!$D$3:$V$619,MATCH("Layer",Template!$D$2:$V$2,0),FALSE),"NA")</f>
        <v>N3</v>
      </c>
      <c r="AB247" s="21">
        <f>VLOOKUP(Template!$M247,Template!$D$3:$F$619,MATCH("InternalGrade",Template!$D$2:$F$2,0),FALSE)-Template!$F247</f>
        <v>0</v>
      </c>
      <c r="AC247" s="17">
        <f>IF(Template!$AB247&lt;=1, 0.8,IF(Template!$AB247=2,0.4,IF(Template!$AB247=3,0.2,IF(Template!$AB247=4,0.1,IF(Template!$AB247&gt;=5,0.05,"erro")))))</f>
        <v>0.8</v>
      </c>
      <c r="AD247" s="17" t="b">
        <f>Template!$D247=Template!$M247</f>
        <v>0</v>
      </c>
      <c r="AE247" s="12" t="s">
        <v>58</v>
      </c>
    </row>
    <row r="248" ht="15.75" customHeight="1">
      <c r="A248" s="7" t="s">
        <v>190</v>
      </c>
      <c r="B248" s="7" t="s">
        <v>160</v>
      </c>
      <c r="C248" s="7" t="s">
        <v>220</v>
      </c>
      <c r="D248" s="13">
        <v>18418.0</v>
      </c>
      <c r="E248" s="7" t="s">
        <v>199</v>
      </c>
      <c r="F248" s="13"/>
      <c r="G248" s="22" t="s">
        <v>200</v>
      </c>
      <c r="H248" s="7" t="s">
        <v>221</v>
      </c>
      <c r="I248" s="7" t="s">
        <v>222</v>
      </c>
      <c r="J248" s="7" t="s">
        <v>70</v>
      </c>
      <c r="K248" s="15">
        <v>43878.0</v>
      </c>
      <c r="L248" s="15">
        <v>28440.0</v>
      </c>
      <c r="M248" s="13">
        <v>12404.0</v>
      </c>
      <c r="N248" s="7">
        <v>5551.0</v>
      </c>
      <c r="O248" s="7"/>
      <c r="P248" s="7">
        <v>13.33</v>
      </c>
      <c r="Q248" s="7"/>
      <c r="R248" s="20"/>
      <c r="S248" s="7"/>
      <c r="T248" s="20"/>
      <c r="U248" s="16">
        <f>SUM(Template!$N248:$O248)*Template!$P248+Template!$Q248</f>
        <v>73994.83</v>
      </c>
      <c r="V248" s="17" t="str">
        <f>IF(Template!$M248="CONSELHO","N",IF(Template!$AA248="N","N1",IF(Template!$AA248="N1","N2",IF(Template!$AA248="N2","N3",IF(Template!$AA248="N3","N4",IF(Template!$AA248="N4","N5",IF(Template!$AA248="N5","N6",IF(Template!$AA248="N6","N7",IF(Template!$AA248="N7","N8",IF(Template!$AA248="N8","N9",IF(Template!$AA248="N9","N10","NA")))))))))))</f>
        <v>N3</v>
      </c>
      <c r="W248" s="17">
        <f>COUNTIF(Template!$M$3:$M$619,Template!$D248)</f>
        <v>14</v>
      </c>
      <c r="X248" s="17" t="str">
        <f>IF(Template!$F248="","",SUMIF(Template!$M$3:$M$619,Template!$D248,Template!$AC$3:$AC$619))</f>
        <v/>
      </c>
      <c r="Y248" s="17" t="str">
        <f>IFERROR(VLOOKUP(Template!$M248,Template!$D$3:$G$619,MATCH("EmployeeJobTitle",Template!$D$2:$G$2,0),FALSE),"NA")</f>
        <v>GERENTE COMERCIAL</v>
      </c>
      <c r="Z248" s="17" t="str">
        <f>IFERROR(VLOOKUP(Template!$M248,Template!$D$3:$G$619,MATCH("EmployeeGroup",Template!$D$2:$G$2,0),FALSE),"NA")</f>
        <v>Coordenador</v>
      </c>
      <c r="AA248" s="17" t="str">
        <f>IFERROR(VLOOKUP(Template!$M248,Template!$D$3:$V$619,MATCH("Layer",Template!$D$2:$V$2,0),FALSE),"NA")</f>
        <v>N2</v>
      </c>
      <c r="AB248" s="21">
        <f>VLOOKUP(Template!$M248,Template!$D$3:$F$619,MATCH("InternalGrade",Template!$D$2:$F$2,0),FALSE)-Template!$F248</f>
        <v>19</v>
      </c>
      <c r="AC248" s="17">
        <f>IF(Template!$AB248&lt;=1, 0.8,IF(Template!$AB248=2,0.4,IF(Template!$AB248=3,0.2,IF(Template!$AB248=4,0.1,IF(Template!$AB248&gt;=5,0.05,"erro")))))</f>
        <v>0.05</v>
      </c>
      <c r="AD248" s="17" t="b">
        <f>Template!$D248=Template!$M248</f>
        <v>0</v>
      </c>
      <c r="AE248" s="12" t="s">
        <v>58</v>
      </c>
    </row>
    <row r="249" ht="15.75" customHeight="1">
      <c r="A249" s="7" t="s">
        <v>190</v>
      </c>
      <c r="B249" s="7" t="s">
        <v>160</v>
      </c>
      <c r="C249" s="7" t="s">
        <v>220</v>
      </c>
      <c r="D249" s="13">
        <v>14638.0</v>
      </c>
      <c r="E249" s="7" t="s">
        <v>197</v>
      </c>
      <c r="F249" s="13"/>
      <c r="G249" s="22" t="s">
        <v>87</v>
      </c>
      <c r="H249" s="7" t="s">
        <v>221</v>
      </c>
      <c r="I249" s="7" t="s">
        <v>222</v>
      </c>
      <c r="J249" s="7" t="s">
        <v>70</v>
      </c>
      <c r="K249" s="15">
        <v>42327.0</v>
      </c>
      <c r="L249" s="15">
        <v>33969.0</v>
      </c>
      <c r="M249" s="13">
        <v>18418.0</v>
      </c>
      <c r="N249" s="7"/>
      <c r="O249" s="7"/>
      <c r="P249" s="7">
        <v>13.33</v>
      </c>
      <c r="Q249" s="7"/>
      <c r="R249" s="20"/>
      <c r="S249" s="7"/>
      <c r="T249" s="20"/>
      <c r="U249" s="16">
        <f>SUM(Template!$N249:$O249)*Template!$P249+Template!$Q249</f>
        <v>0</v>
      </c>
      <c r="V249" s="17" t="str">
        <f>IF(Template!$M249="CONSELHO","N",IF(Template!$AA249="N","N1",IF(Template!$AA249="N1","N2",IF(Template!$AA249="N2","N3",IF(Template!$AA249="N3","N4",IF(Template!$AA249="N4","N5",IF(Template!$AA249="N5","N6",IF(Template!$AA249="N6","N7",IF(Template!$AA249="N7","N8",IF(Template!$AA249="N8","N9",IF(Template!$AA249="N9","N10","NA")))))))))))</f>
        <v>N4</v>
      </c>
      <c r="W249" s="17">
        <f>COUNTIF(Template!$M$3:$M$619,Template!$D249)</f>
        <v>0</v>
      </c>
      <c r="X249" s="17" t="str">
        <f>IF(Template!$F249="","",SUMIF(Template!$M$3:$M$619,Template!$D249,Template!$AC$3:$AC$619))</f>
        <v/>
      </c>
      <c r="Y249" s="17" t="str">
        <f>IFERROR(VLOOKUP(Template!$M249,Template!$D$3:$G$619,MATCH("EmployeeJobTitle",Template!$D$2:$G$2,0),FALSE),"NA")</f>
        <v>GERENTE DE LOJA</v>
      </c>
      <c r="Z249" s="17" t="str">
        <f>IFERROR(VLOOKUP(Template!$M249,Template!$D$3:$G$619,MATCH("EmployeeGroup",Template!$D$2:$G$2,0),FALSE),"NA")</f>
        <v>GERENTE</v>
      </c>
      <c r="AA249" s="17" t="str">
        <f>IFERROR(VLOOKUP(Template!$M249,Template!$D$3:$V$619,MATCH("Layer",Template!$D$2:$V$2,0),FALSE),"NA")</f>
        <v>N3</v>
      </c>
      <c r="AB249" s="21">
        <f>VLOOKUP(Template!$M249,Template!$D$3:$F$619,MATCH("InternalGrade",Template!$D$2:$F$2,0),FALSE)-Template!$F249</f>
        <v>0</v>
      </c>
      <c r="AC249" s="17">
        <f>IF(Template!$AB249&lt;=1, 0.8,IF(Template!$AB249=2,0.4,IF(Template!$AB249=3,0.2,IF(Template!$AB249=4,0.1,IF(Template!$AB249&gt;=5,0.05,"erro")))))</f>
        <v>0.8</v>
      </c>
      <c r="AD249" s="17" t="b">
        <f>Template!$D249=Template!$M249</f>
        <v>0</v>
      </c>
      <c r="AE249" s="12" t="s">
        <v>58</v>
      </c>
    </row>
    <row r="250" ht="15.75" customHeight="1">
      <c r="A250" s="7" t="s">
        <v>190</v>
      </c>
      <c r="B250" s="7" t="s">
        <v>160</v>
      </c>
      <c r="C250" s="7" t="s">
        <v>220</v>
      </c>
      <c r="D250" s="13">
        <v>19523.0</v>
      </c>
      <c r="E250" s="7" t="s">
        <v>193</v>
      </c>
      <c r="F250" s="13"/>
      <c r="G250" s="14" t="s">
        <v>63</v>
      </c>
      <c r="H250" s="7" t="s">
        <v>221</v>
      </c>
      <c r="I250" s="7" t="s">
        <v>222</v>
      </c>
      <c r="J250" s="7" t="s">
        <v>70</v>
      </c>
      <c r="K250" s="15">
        <v>44320.0</v>
      </c>
      <c r="L250" s="15">
        <v>29876.0</v>
      </c>
      <c r="M250" s="13">
        <v>18418.0</v>
      </c>
      <c r="N250" s="7"/>
      <c r="O250" s="7"/>
      <c r="P250" s="7">
        <v>13.33</v>
      </c>
      <c r="Q250" s="7"/>
      <c r="R250" s="20"/>
      <c r="S250" s="7"/>
      <c r="T250" s="20"/>
      <c r="U250" s="16">
        <f>SUM(Template!$N250:$O250)*Template!$P250+Template!$Q250</f>
        <v>0</v>
      </c>
      <c r="V250" s="17" t="str">
        <f>IF(Template!$M250="CONSELHO","N",IF(Template!$AA250="N","N1",IF(Template!$AA250="N1","N2",IF(Template!$AA250="N2","N3",IF(Template!$AA250="N3","N4",IF(Template!$AA250="N4","N5",IF(Template!$AA250="N5","N6",IF(Template!$AA250="N6","N7",IF(Template!$AA250="N7","N8",IF(Template!$AA250="N8","N9",IF(Template!$AA250="N9","N10","NA")))))))))))</f>
        <v>N4</v>
      </c>
      <c r="W250" s="17">
        <f>COUNTIF(Template!$M$3:$M$619,Template!$D250)</f>
        <v>0</v>
      </c>
      <c r="X250" s="17" t="str">
        <f>IF(Template!$F250="","",SUMIF(Template!$M$3:$M$619,Template!$D250,Template!$AC$3:$AC$619))</f>
        <v/>
      </c>
      <c r="Y250" s="17" t="str">
        <f>IFERROR(VLOOKUP(Template!$M250,Template!$D$3:$G$619,MATCH("EmployeeJobTitle",Template!$D$2:$G$2,0),FALSE),"NA")</f>
        <v>GERENTE DE LOJA</v>
      </c>
      <c r="Z250" s="17" t="str">
        <f>IFERROR(VLOOKUP(Template!$M250,Template!$D$3:$G$619,MATCH("EmployeeGroup",Template!$D$2:$G$2,0),FALSE),"NA")</f>
        <v>GERENTE</v>
      </c>
      <c r="AA250" s="17" t="str">
        <f>IFERROR(VLOOKUP(Template!$M250,Template!$D$3:$V$619,MATCH("Layer",Template!$D$2:$V$2,0),FALSE),"NA")</f>
        <v>N3</v>
      </c>
      <c r="AB250" s="21">
        <f>VLOOKUP(Template!$M250,Template!$D$3:$F$619,MATCH("InternalGrade",Template!$D$2:$F$2,0),FALSE)-Template!$F250</f>
        <v>0</v>
      </c>
      <c r="AC250" s="17">
        <f>IF(Template!$AB250&lt;=1, 0.8,IF(Template!$AB250=2,0.4,IF(Template!$AB250=3,0.2,IF(Template!$AB250=4,0.1,IF(Template!$AB250&gt;=5,0.05,"erro")))))</f>
        <v>0.8</v>
      </c>
      <c r="AD250" s="17" t="b">
        <f>Template!$D250=Template!$M250</f>
        <v>0</v>
      </c>
      <c r="AE250" s="12" t="s">
        <v>58</v>
      </c>
    </row>
    <row r="251" ht="15.75" customHeight="1">
      <c r="A251" s="7" t="s">
        <v>190</v>
      </c>
      <c r="B251" s="7" t="s">
        <v>160</v>
      </c>
      <c r="C251" s="7" t="s">
        <v>220</v>
      </c>
      <c r="D251" s="13">
        <v>24095.0</v>
      </c>
      <c r="E251" s="7" t="s">
        <v>193</v>
      </c>
      <c r="F251" s="13"/>
      <c r="G251" s="14" t="s">
        <v>63</v>
      </c>
      <c r="H251" s="7" t="s">
        <v>221</v>
      </c>
      <c r="I251" s="7" t="s">
        <v>222</v>
      </c>
      <c r="J251" s="7" t="s">
        <v>70</v>
      </c>
      <c r="K251" s="15">
        <v>45096.0</v>
      </c>
      <c r="L251" s="15">
        <v>32111.0</v>
      </c>
      <c r="M251" s="13">
        <v>18418.0</v>
      </c>
      <c r="N251" s="7"/>
      <c r="O251" s="7"/>
      <c r="P251" s="7">
        <v>13.33</v>
      </c>
      <c r="Q251" s="7"/>
      <c r="R251" s="20"/>
      <c r="S251" s="7"/>
      <c r="T251" s="20"/>
      <c r="U251" s="16">
        <f>SUM(Template!$N251:$O251)*Template!$P251+Template!$Q251</f>
        <v>0</v>
      </c>
      <c r="V251" s="17" t="str">
        <f>IF(Template!$M251="CONSELHO","N",IF(Template!$AA251="N","N1",IF(Template!$AA251="N1","N2",IF(Template!$AA251="N2","N3",IF(Template!$AA251="N3","N4",IF(Template!$AA251="N4","N5",IF(Template!$AA251="N5","N6",IF(Template!$AA251="N6","N7",IF(Template!$AA251="N7","N8",IF(Template!$AA251="N8","N9",IF(Template!$AA251="N9","N10","NA")))))))))))</f>
        <v>N4</v>
      </c>
      <c r="W251" s="17">
        <f>COUNTIF(Template!$M$3:$M$619,Template!$D251)</f>
        <v>0</v>
      </c>
      <c r="X251" s="17" t="str">
        <f>IF(Template!$F251="","",SUMIF(Template!$M$3:$M$619,Template!$D251,Template!$AC$3:$AC$619))</f>
        <v/>
      </c>
      <c r="Y251" s="17" t="str">
        <f>IFERROR(VLOOKUP(Template!$M251,Template!$D$3:$G$619,MATCH("EmployeeJobTitle",Template!$D$2:$G$2,0),FALSE),"NA")</f>
        <v>GERENTE DE LOJA</v>
      </c>
      <c r="Z251" s="17" t="str">
        <f>IFERROR(VLOOKUP(Template!$M251,Template!$D$3:$G$619,MATCH("EmployeeGroup",Template!$D$2:$G$2,0),FALSE),"NA")</f>
        <v>GERENTE</v>
      </c>
      <c r="AA251" s="17" t="str">
        <f>IFERROR(VLOOKUP(Template!$M251,Template!$D$3:$V$619,MATCH("Layer",Template!$D$2:$V$2,0),FALSE),"NA")</f>
        <v>N3</v>
      </c>
      <c r="AB251" s="21">
        <f>VLOOKUP(Template!$M251,Template!$D$3:$F$619,MATCH("InternalGrade",Template!$D$2:$F$2,0),FALSE)-Template!$F251</f>
        <v>0</v>
      </c>
      <c r="AC251" s="17">
        <f>IF(Template!$AB251&lt;=1, 0.8,IF(Template!$AB251=2,0.4,IF(Template!$AB251=3,0.2,IF(Template!$AB251=4,0.1,IF(Template!$AB251&gt;=5,0.05,"erro")))))</f>
        <v>0.8</v>
      </c>
      <c r="AD251" s="17" t="b">
        <f>Template!$D251=Template!$M251</f>
        <v>0</v>
      </c>
      <c r="AE251" s="12" t="s">
        <v>58</v>
      </c>
    </row>
    <row r="252" ht="15.75" customHeight="1">
      <c r="A252" s="7" t="s">
        <v>190</v>
      </c>
      <c r="B252" s="7" t="s">
        <v>160</v>
      </c>
      <c r="C252" s="7" t="s">
        <v>220</v>
      </c>
      <c r="D252" s="13">
        <v>25076.0</v>
      </c>
      <c r="E252" s="7" t="s">
        <v>193</v>
      </c>
      <c r="F252" s="13"/>
      <c r="G252" s="14" t="s">
        <v>63</v>
      </c>
      <c r="H252" s="7" t="s">
        <v>221</v>
      </c>
      <c r="I252" s="7" t="s">
        <v>222</v>
      </c>
      <c r="J252" s="7" t="s">
        <v>70</v>
      </c>
      <c r="K252" s="15">
        <v>45432.0</v>
      </c>
      <c r="L252" s="15">
        <v>32831.0</v>
      </c>
      <c r="M252" s="13">
        <v>18418.0</v>
      </c>
      <c r="N252" s="7"/>
      <c r="O252" s="7"/>
      <c r="P252" s="7">
        <v>13.33</v>
      </c>
      <c r="Q252" s="7"/>
      <c r="R252" s="20"/>
      <c r="S252" s="7"/>
      <c r="T252" s="20"/>
      <c r="U252" s="16">
        <f>SUM(Template!$N252:$O252)*Template!$P252+Template!$Q252</f>
        <v>0</v>
      </c>
      <c r="V252" s="17" t="str">
        <f>IF(Template!$M252="CONSELHO","N",IF(Template!$AA252="N","N1",IF(Template!$AA252="N1","N2",IF(Template!$AA252="N2","N3",IF(Template!$AA252="N3","N4",IF(Template!$AA252="N4","N5",IF(Template!$AA252="N5","N6",IF(Template!$AA252="N6","N7",IF(Template!$AA252="N7","N8",IF(Template!$AA252="N8","N9",IF(Template!$AA252="N9","N10","NA")))))))))))</f>
        <v>N4</v>
      </c>
      <c r="W252" s="17">
        <f>COUNTIF(Template!$M$3:$M$619,Template!$D252)</f>
        <v>0</v>
      </c>
      <c r="X252" s="17" t="str">
        <f>IF(Template!$F252="","",SUMIF(Template!$M$3:$M$619,Template!$D252,Template!$AC$3:$AC$619))</f>
        <v/>
      </c>
      <c r="Y252" s="17" t="str">
        <f>IFERROR(VLOOKUP(Template!$M252,Template!$D$3:$G$619,MATCH("EmployeeJobTitle",Template!$D$2:$G$2,0),FALSE),"NA")</f>
        <v>GERENTE DE LOJA</v>
      </c>
      <c r="Z252" s="17" t="str">
        <f>IFERROR(VLOOKUP(Template!$M252,Template!$D$3:$G$619,MATCH("EmployeeGroup",Template!$D$2:$G$2,0),FALSE),"NA")</f>
        <v>GERENTE</v>
      </c>
      <c r="AA252" s="17" t="str">
        <f>IFERROR(VLOOKUP(Template!$M252,Template!$D$3:$V$619,MATCH("Layer",Template!$D$2:$V$2,0),FALSE),"NA")</f>
        <v>N3</v>
      </c>
      <c r="AB252" s="21">
        <f>VLOOKUP(Template!$M252,Template!$D$3:$F$619,MATCH("InternalGrade",Template!$D$2:$F$2,0),FALSE)-Template!$F252</f>
        <v>0</v>
      </c>
      <c r="AC252" s="17">
        <f>IF(Template!$AB252&lt;=1, 0.8,IF(Template!$AB252=2,0.4,IF(Template!$AB252=3,0.2,IF(Template!$AB252=4,0.1,IF(Template!$AB252&gt;=5,0.05,"erro")))))</f>
        <v>0.8</v>
      </c>
      <c r="AD252" s="17" t="b">
        <f>Template!$D252=Template!$M252</f>
        <v>0</v>
      </c>
      <c r="AE252" s="12" t="s">
        <v>58</v>
      </c>
    </row>
    <row r="253" ht="15.75" customHeight="1">
      <c r="A253" s="7" t="s">
        <v>190</v>
      </c>
      <c r="B253" s="7" t="s">
        <v>160</v>
      </c>
      <c r="C253" s="7" t="s">
        <v>220</v>
      </c>
      <c r="D253" s="13">
        <v>19796.0</v>
      </c>
      <c r="E253" s="7" t="s">
        <v>193</v>
      </c>
      <c r="F253" s="13"/>
      <c r="G253" s="14" t="s">
        <v>63</v>
      </c>
      <c r="H253" s="7" t="s">
        <v>221</v>
      </c>
      <c r="I253" s="7" t="s">
        <v>222</v>
      </c>
      <c r="J253" s="7" t="s">
        <v>70</v>
      </c>
      <c r="K253" s="15">
        <v>44445.0</v>
      </c>
      <c r="L253" s="15">
        <v>31482.0</v>
      </c>
      <c r="M253" s="13">
        <v>18418.0</v>
      </c>
      <c r="N253" s="7"/>
      <c r="O253" s="7"/>
      <c r="P253" s="7">
        <v>13.33</v>
      </c>
      <c r="Q253" s="7"/>
      <c r="R253" s="20"/>
      <c r="S253" s="7"/>
      <c r="T253" s="20"/>
      <c r="U253" s="16">
        <f>SUM(Template!$N253:$O253)*Template!$P253+Template!$Q253</f>
        <v>0</v>
      </c>
      <c r="V253" s="17" t="str">
        <f>IF(Template!$M253="CONSELHO","N",IF(Template!$AA253="N","N1",IF(Template!$AA253="N1","N2",IF(Template!$AA253="N2","N3",IF(Template!$AA253="N3","N4",IF(Template!$AA253="N4","N5",IF(Template!$AA253="N5","N6",IF(Template!$AA253="N6","N7",IF(Template!$AA253="N7","N8",IF(Template!$AA253="N8","N9",IF(Template!$AA253="N9","N10","NA")))))))))))</f>
        <v>N4</v>
      </c>
      <c r="W253" s="17">
        <f>COUNTIF(Template!$M$3:$M$619,Template!$D253)</f>
        <v>0</v>
      </c>
      <c r="X253" s="17" t="str">
        <f>IF(Template!$F253="","",SUMIF(Template!$M$3:$M$619,Template!$D253,Template!$AC$3:$AC$619))</f>
        <v/>
      </c>
      <c r="Y253" s="17" t="str">
        <f>IFERROR(VLOOKUP(Template!$M253,Template!$D$3:$G$619,MATCH("EmployeeJobTitle",Template!$D$2:$G$2,0),FALSE),"NA")</f>
        <v>GERENTE DE LOJA</v>
      </c>
      <c r="Z253" s="17" t="str">
        <f>IFERROR(VLOOKUP(Template!$M253,Template!$D$3:$G$619,MATCH("EmployeeGroup",Template!$D$2:$G$2,0),FALSE),"NA")</f>
        <v>GERENTE</v>
      </c>
      <c r="AA253" s="17" t="str">
        <f>IFERROR(VLOOKUP(Template!$M253,Template!$D$3:$V$619,MATCH("Layer",Template!$D$2:$V$2,0),FALSE),"NA")</f>
        <v>N3</v>
      </c>
      <c r="AB253" s="21">
        <f>VLOOKUP(Template!$M253,Template!$D$3:$F$619,MATCH("InternalGrade",Template!$D$2:$F$2,0),FALSE)-Template!$F253</f>
        <v>0</v>
      </c>
      <c r="AC253" s="17">
        <f>IF(Template!$AB253&lt;=1, 0.8,IF(Template!$AB253=2,0.4,IF(Template!$AB253=3,0.2,IF(Template!$AB253=4,0.1,IF(Template!$AB253&gt;=5,0.05,"erro")))))</f>
        <v>0.8</v>
      </c>
      <c r="AD253" s="17" t="b">
        <f>Template!$D253=Template!$M253</f>
        <v>0</v>
      </c>
      <c r="AE253" s="12" t="s">
        <v>58</v>
      </c>
    </row>
    <row r="254" ht="15.75" customHeight="1">
      <c r="A254" s="7" t="s">
        <v>190</v>
      </c>
      <c r="B254" s="7" t="s">
        <v>160</v>
      </c>
      <c r="C254" s="7" t="s">
        <v>220</v>
      </c>
      <c r="D254" s="13">
        <v>18782.0</v>
      </c>
      <c r="E254" s="7" t="s">
        <v>196</v>
      </c>
      <c r="F254" s="13"/>
      <c r="G254" s="14" t="s">
        <v>63</v>
      </c>
      <c r="H254" s="7" t="s">
        <v>221</v>
      </c>
      <c r="I254" s="7" t="s">
        <v>222</v>
      </c>
      <c r="J254" s="7" t="s">
        <v>70</v>
      </c>
      <c r="K254" s="15">
        <v>44117.0</v>
      </c>
      <c r="L254" s="15">
        <v>33532.0</v>
      </c>
      <c r="M254" s="13">
        <v>18418.0</v>
      </c>
      <c r="N254" s="7">
        <v>2062.0</v>
      </c>
      <c r="O254" s="7"/>
      <c r="P254" s="7">
        <v>13.33</v>
      </c>
      <c r="Q254" s="7"/>
      <c r="R254" s="20"/>
      <c r="S254" s="7"/>
      <c r="T254" s="20"/>
      <c r="U254" s="16">
        <f>SUM(Template!$N254:$O254)*Template!$P254+Template!$Q254</f>
        <v>27486.46</v>
      </c>
      <c r="V254" s="17" t="str">
        <f>IF(Template!$M254="CONSELHO","N",IF(Template!$AA254="N","N1",IF(Template!$AA254="N1","N2",IF(Template!$AA254="N2","N3",IF(Template!$AA254="N3","N4",IF(Template!$AA254="N4","N5",IF(Template!$AA254="N5","N6",IF(Template!$AA254="N6","N7",IF(Template!$AA254="N7","N8",IF(Template!$AA254="N8","N9",IF(Template!$AA254="N9","N10","NA")))))))))))</f>
        <v>N4</v>
      </c>
      <c r="W254" s="17">
        <f>COUNTIF(Template!$M$3:$M$619,Template!$D254)</f>
        <v>0</v>
      </c>
      <c r="X254" s="17" t="str">
        <f>IF(Template!$F254="","",SUMIF(Template!$M$3:$M$619,Template!$D254,Template!$AC$3:$AC$619))</f>
        <v/>
      </c>
      <c r="Y254" s="17" t="str">
        <f>IFERROR(VLOOKUP(Template!$M254,Template!$D$3:$G$619,MATCH("EmployeeJobTitle",Template!$D$2:$G$2,0),FALSE),"NA")</f>
        <v>GERENTE DE LOJA</v>
      </c>
      <c r="Z254" s="17" t="str">
        <f>IFERROR(VLOOKUP(Template!$M254,Template!$D$3:$G$619,MATCH("EmployeeGroup",Template!$D$2:$G$2,0),FALSE),"NA")</f>
        <v>GERENTE</v>
      </c>
      <c r="AA254" s="17" t="str">
        <f>IFERROR(VLOOKUP(Template!$M254,Template!$D$3:$V$619,MATCH("Layer",Template!$D$2:$V$2,0),FALSE),"NA")</f>
        <v>N3</v>
      </c>
      <c r="AB254" s="21">
        <f>VLOOKUP(Template!$M254,Template!$D$3:$F$619,MATCH("InternalGrade",Template!$D$2:$F$2,0),FALSE)-Template!$F254</f>
        <v>0</v>
      </c>
      <c r="AC254" s="17">
        <f>IF(Template!$AB254&lt;=1, 0.8,IF(Template!$AB254=2,0.4,IF(Template!$AB254=3,0.2,IF(Template!$AB254=4,0.1,IF(Template!$AB254&gt;=5,0.05,"erro")))))</f>
        <v>0.8</v>
      </c>
      <c r="AD254" s="17" t="b">
        <f>Template!$D254=Template!$M254</f>
        <v>0</v>
      </c>
      <c r="AE254" s="12" t="s">
        <v>58</v>
      </c>
    </row>
    <row r="255" ht="15.75" customHeight="1">
      <c r="A255" s="7" t="s">
        <v>190</v>
      </c>
      <c r="B255" s="7" t="s">
        <v>160</v>
      </c>
      <c r="C255" s="7" t="s">
        <v>220</v>
      </c>
      <c r="D255" s="13">
        <v>25352.0</v>
      </c>
      <c r="E255" s="7" t="s">
        <v>196</v>
      </c>
      <c r="F255" s="13"/>
      <c r="G255" s="14" t="s">
        <v>63</v>
      </c>
      <c r="H255" s="7" t="s">
        <v>221</v>
      </c>
      <c r="I255" s="7" t="s">
        <v>222</v>
      </c>
      <c r="J255" s="7" t="s">
        <v>70</v>
      </c>
      <c r="K255" s="15">
        <v>45544.0</v>
      </c>
      <c r="L255" s="15">
        <v>38689.0</v>
      </c>
      <c r="M255" s="13">
        <v>18418.0</v>
      </c>
      <c r="N255" s="7">
        <v>1963.0</v>
      </c>
      <c r="O255" s="7"/>
      <c r="P255" s="7">
        <v>13.33</v>
      </c>
      <c r="Q255" s="7"/>
      <c r="R255" s="20"/>
      <c r="S255" s="7"/>
      <c r="T255" s="20"/>
      <c r="U255" s="16">
        <f>SUM(Template!$N255:$O255)*Template!$P255+Template!$Q255</f>
        <v>26166.79</v>
      </c>
      <c r="V255" s="17" t="str">
        <f>IF(Template!$M255="CONSELHO","N",IF(Template!$AA255="N","N1",IF(Template!$AA255="N1","N2",IF(Template!$AA255="N2","N3",IF(Template!$AA255="N3","N4",IF(Template!$AA255="N4","N5",IF(Template!$AA255="N5","N6",IF(Template!$AA255="N6","N7",IF(Template!$AA255="N7","N8",IF(Template!$AA255="N8","N9",IF(Template!$AA255="N9","N10","NA")))))))))))</f>
        <v>N4</v>
      </c>
      <c r="W255" s="17">
        <f>COUNTIF(Template!$M$3:$M$619,Template!$D255)</f>
        <v>0</v>
      </c>
      <c r="X255" s="17" t="str">
        <f>IF(Template!$F255="","",SUMIF(Template!$M$3:$M$619,Template!$D255,Template!$AC$3:$AC$619))</f>
        <v/>
      </c>
      <c r="Y255" s="17" t="str">
        <f>IFERROR(VLOOKUP(Template!$M255,Template!$D$3:$G$619,MATCH("EmployeeJobTitle",Template!$D$2:$G$2,0),FALSE),"NA")</f>
        <v>GERENTE DE LOJA</v>
      </c>
      <c r="Z255" s="17" t="str">
        <f>IFERROR(VLOOKUP(Template!$M255,Template!$D$3:$G$619,MATCH("EmployeeGroup",Template!$D$2:$G$2,0),FALSE),"NA")</f>
        <v>GERENTE</v>
      </c>
      <c r="AA255" s="17" t="str">
        <f>IFERROR(VLOOKUP(Template!$M255,Template!$D$3:$V$619,MATCH("Layer",Template!$D$2:$V$2,0),FALSE),"NA")</f>
        <v>N3</v>
      </c>
      <c r="AB255" s="21">
        <f>VLOOKUP(Template!$M255,Template!$D$3:$F$619,MATCH("InternalGrade",Template!$D$2:$F$2,0),FALSE)-Template!$F255</f>
        <v>0</v>
      </c>
      <c r="AC255" s="17">
        <f>IF(Template!$AB255&lt;=1, 0.8,IF(Template!$AB255=2,0.4,IF(Template!$AB255=3,0.2,IF(Template!$AB255=4,0.1,IF(Template!$AB255&gt;=5,0.05,"erro")))))</f>
        <v>0.8</v>
      </c>
      <c r="AD255" s="17" t="b">
        <f>Template!$D255=Template!$M255</f>
        <v>0</v>
      </c>
      <c r="AE255" s="12" t="s">
        <v>58</v>
      </c>
    </row>
    <row r="256" ht="15.75" customHeight="1">
      <c r="A256" s="7" t="s">
        <v>190</v>
      </c>
      <c r="B256" s="7" t="s">
        <v>160</v>
      </c>
      <c r="C256" s="7" t="s">
        <v>220</v>
      </c>
      <c r="D256" s="13">
        <v>24117.0</v>
      </c>
      <c r="E256" s="7" t="s">
        <v>193</v>
      </c>
      <c r="F256" s="13"/>
      <c r="G256" s="14" t="s">
        <v>63</v>
      </c>
      <c r="H256" s="7" t="s">
        <v>221</v>
      </c>
      <c r="I256" s="7" t="s">
        <v>222</v>
      </c>
      <c r="J256" s="7" t="s">
        <v>70</v>
      </c>
      <c r="K256" s="15">
        <v>45110.0</v>
      </c>
      <c r="L256" s="15">
        <v>30324.0</v>
      </c>
      <c r="M256" s="13">
        <v>18418.0</v>
      </c>
      <c r="N256" s="7"/>
      <c r="O256" s="7"/>
      <c r="P256" s="7">
        <v>13.33</v>
      </c>
      <c r="Q256" s="7"/>
      <c r="R256" s="20"/>
      <c r="S256" s="7"/>
      <c r="T256" s="20"/>
      <c r="U256" s="16">
        <f>SUM(Template!$N256:$O256)*Template!$P256+Template!$Q256</f>
        <v>0</v>
      </c>
      <c r="V256" s="17" t="str">
        <f>IF(Template!$M256="CONSELHO","N",IF(Template!$AA256="N","N1",IF(Template!$AA256="N1","N2",IF(Template!$AA256="N2","N3",IF(Template!$AA256="N3","N4",IF(Template!$AA256="N4","N5",IF(Template!$AA256="N5","N6",IF(Template!$AA256="N6","N7",IF(Template!$AA256="N7","N8",IF(Template!$AA256="N8","N9",IF(Template!$AA256="N9","N10","NA")))))))))))</f>
        <v>N4</v>
      </c>
      <c r="W256" s="17">
        <f>COUNTIF(Template!$M$3:$M$619,Template!$D256)</f>
        <v>0</v>
      </c>
      <c r="X256" s="17" t="str">
        <f>IF(Template!$F256="","",SUMIF(Template!$M$3:$M$619,Template!$D256,Template!$AC$3:$AC$619))</f>
        <v/>
      </c>
      <c r="Y256" s="17" t="str">
        <f>IFERROR(VLOOKUP(Template!$M256,Template!$D$3:$G$619,MATCH("EmployeeJobTitle",Template!$D$2:$G$2,0),FALSE),"NA")</f>
        <v>GERENTE DE LOJA</v>
      </c>
      <c r="Z256" s="17" t="str">
        <f>IFERROR(VLOOKUP(Template!$M256,Template!$D$3:$G$619,MATCH("EmployeeGroup",Template!$D$2:$G$2,0),FALSE),"NA")</f>
        <v>GERENTE</v>
      </c>
      <c r="AA256" s="17" t="str">
        <f>IFERROR(VLOOKUP(Template!$M256,Template!$D$3:$V$619,MATCH("Layer",Template!$D$2:$V$2,0),FALSE),"NA")</f>
        <v>N3</v>
      </c>
      <c r="AB256" s="21">
        <f>VLOOKUP(Template!$M256,Template!$D$3:$F$619,MATCH("InternalGrade",Template!$D$2:$F$2,0),FALSE)-Template!$F256</f>
        <v>0</v>
      </c>
      <c r="AC256" s="17">
        <f>IF(Template!$AB256&lt;=1, 0.8,IF(Template!$AB256=2,0.4,IF(Template!$AB256=3,0.2,IF(Template!$AB256=4,0.1,IF(Template!$AB256&gt;=5,0.05,"erro")))))</f>
        <v>0.8</v>
      </c>
      <c r="AD256" s="17" t="b">
        <f>Template!$D256=Template!$M256</f>
        <v>0</v>
      </c>
      <c r="AE256" s="12" t="s">
        <v>58</v>
      </c>
    </row>
    <row r="257" ht="15.75" customHeight="1">
      <c r="A257" s="7" t="s">
        <v>190</v>
      </c>
      <c r="B257" s="7" t="s">
        <v>160</v>
      </c>
      <c r="C257" s="7" t="s">
        <v>220</v>
      </c>
      <c r="D257" s="13">
        <v>25271.0</v>
      </c>
      <c r="E257" s="7" t="s">
        <v>196</v>
      </c>
      <c r="F257" s="13"/>
      <c r="G257" s="14" t="s">
        <v>63</v>
      </c>
      <c r="H257" s="7" t="s">
        <v>221</v>
      </c>
      <c r="I257" s="7" t="s">
        <v>222</v>
      </c>
      <c r="J257" s="7" t="s">
        <v>70</v>
      </c>
      <c r="K257" s="15">
        <v>45509.0</v>
      </c>
      <c r="L257" s="15">
        <v>38539.0</v>
      </c>
      <c r="M257" s="13">
        <v>18418.0</v>
      </c>
      <c r="N257" s="7">
        <v>1963.0</v>
      </c>
      <c r="O257" s="7"/>
      <c r="P257" s="7">
        <v>13.33</v>
      </c>
      <c r="Q257" s="7"/>
      <c r="R257" s="20"/>
      <c r="S257" s="7"/>
      <c r="T257" s="20"/>
      <c r="U257" s="16">
        <f>SUM(Template!$N257:$O257)*Template!$P257+Template!$Q257</f>
        <v>26166.79</v>
      </c>
      <c r="V257" s="17" t="str">
        <f>IF(Template!$M257="CONSELHO","N",IF(Template!$AA257="N","N1",IF(Template!$AA257="N1","N2",IF(Template!$AA257="N2","N3",IF(Template!$AA257="N3","N4",IF(Template!$AA257="N4","N5",IF(Template!$AA257="N5","N6",IF(Template!$AA257="N6","N7",IF(Template!$AA257="N7","N8",IF(Template!$AA257="N8","N9",IF(Template!$AA257="N9","N10","NA")))))))))))</f>
        <v>N4</v>
      </c>
      <c r="W257" s="17">
        <f>COUNTIF(Template!$M$3:$M$619,Template!$D257)</f>
        <v>0</v>
      </c>
      <c r="X257" s="17" t="str">
        <f>IF(Template!$F257="","",SUMIF(Template!$M$3:$M$619,Template!$D257,Template!$AC$3:$AC$619))</f>
        <v/>
      </c>
      <c r="Y257" s="17" t="str">
        <f>IFERROR(VLOOKUP(Template!$M257,Template!$D$3:$G$619,MATCH("EmployeeJobTitle",Template!$D$2:$G$2,0),FALSE),"NA")</f>
        <v>GERENTE DE LOJA</v>
      </c>
      <c r="Z257" s="17" t="str">
        <f>IFERROR(VLOOKUP(Template!$M257,Template!$D$3:$G$619,MATCH("EmployeeGroup",Template!$D$2:$G$2,0),FALSE),"NA")</f>
        <v>GERENTE</v>
      </c>
      <c r="AA257" s="17" t="str">
        <f>IFERROR(VLOOKUP(Template!$M257,Template!$D$3:$V$619,MATCH("Layer",Template!$D$2:$V$2,0),FALSE),"NA")</f>
        <v>N3</v>
      </c>
      <c r="AB257" s="21">
        <f>VLOOKUP(Template!$M257,Template!$D$3:$F$619,MATCH("InternalGrade",Template!$D$2:$F$2,0),FALSE)-Template!$F257</f>
        <v>0</v>
      </c>
      <c r="AC257" s="17">
        <f>IF(Template!$AB257&lt;=1, 0.8,IF(Template!$AB257=2,0.4,IF(Template!$AB257=3,0.2,IF(Template!$AB257=4,0.1,IF(Template!$AB257&gt;=5,0.05,"erro")))))</f>
        <v>0.8</v>
      </c>
      <c r="AD257" s="17" t="b">
        <f>Template!$D257=Template!$M257</f>
        <v>0</v>
      </c>
      <c r="AE257" s="12" t="s">
        <v>58</v>
      </c>
    </row>
    <row r="258" ht="15.75" customHeight="1">
      <c r="A258" s="7" t="s">
        <v>190</v>
      </c>
      <c r="B258" s="7" t="s">
        <v>160</v>
      </c>
      <c r="C258" s="7" t="s">
        <v>220</v>
      </c>
      <c r="D258" s="13">
        <v>19694.0</v>
      </c>
      <c r="E258" s="7" t="s">
        <v>193</v>
      </c>
      <c r="F258" s="13"/>
      <c r="G258" s="14" t="s">
        <v>63</v>
      </c>
      <c r="H258" s="7" t="s">
        <v>221</v>
      </c>
      <c r="I258" s="7" t="s">
        <v>222</v>
      </c>
      <c r="J258" s="7" t="s">
        <v>70</v>
      </c>
      <c r="K258" s="15">
        <v>44396.0</v>
      </c>
      <c r="L258" s="15">
        <v>28789.0</v>
      </c>
      <c r="M258" s="13">
        <v>18418.0</v>
      </c>
      <c r="N258" s="7"/>
      <c r="O258" s="7"/>
      <c r="P258" s="7">
        <v>13.33</v>
      </c>
      <c r="Q258" s="7"/>
      <c r="R258" s="20"/>
      <c r="S258" s="7"/>
      <c r="T258" s="20"/>
      <c r="U258" s="16">
        <f>SUM(Template!$N258:$O258)*Template!$P258+Template!$Q258</f>
        <v>0</v>
      </c>
      <c r="V258" s="17" t="str">
        <f>IF(Template!$M258="CONSELHO","N",IF(Template!$AA258="N","N1",IF(Template!$AA258="N1","N2",IF(Template!$AA258="N2","N3",IF(Template!$AA258="N3","N4",IF(Template!$AA258="N4","N5",IF(Template!$AA258="N5","N6",IF(Template!$AA258="N6","N7",IF(Template!$AA258="N7","N8",IF(Template!$AA258="N8","N9",IF(Template!$AA258="N9","N10","NA")))))))))))</f>
        <v>N4</v>
      </c>
      <c r="W258" s="17">
        <f>COUNTIF(Template!$M$3:$M$619,Template!$D258)</f>
        <v>0</v>
      </c>
      <c r="X258" s="17" t="str">
        <f>IF(Template!$F258="","",SUMIF(Template!$M$3:$M$619,Template!$D258,Template!$AC$3:$AC$619))</f>
        <v/>
      </c>
      <c r="Y258" s="17" t="str">
        <f>IFERROR(VLOOKUP(Template!$M258,Template!$D$3:$G$619,MATCH("EmployeeJobTitle",Template!$D$2:$G$2,0),FALSE),"NA")</f>
        <v>GERENTE DE LOJA</v>
      </c>
      <c r="Z258" s="17" t="str">
        <f>IFERROR(VLOOKUP(Template!$M258,Template!$D$3:$G$619,MATCH("EmployeeGroup",Template!$D$2:$G$2,0),FALSE),"NA")</f>
        <v>GERENTE</v>
      </c>
      <c r="AA258" s="17" t="str">
        <f>IFERROR(VLOOKUP(Template!$M258,Template!$D$3:$V$619,MATCH("Layer",Template!$D$2:$V$2,0),FALSE),"NA")</f>
        <v>N3</v>
      </c>
      <c r="AB258" s="21">
        <f>VLOOKUP(Template!$M258,Template!$D$3:$F$619,MATCH("InternalGrade",Template!$D$2:$F$2,0),FALSE)-Template!$F258</f>
        <v>0</v>
      </c>
      <c r="AC258" s="17">
        <f>IF(Template!$AB258&lt;=1, 0.8,IF(Template!$AB258=2,0.4,IF(Template!$AB258=3,0.2,IF(Template!$AB258=4,0.1,IF(Template!$AB258&gt;=5,0.05,"erro")))))</f>
        <v>0.8</v>
      </c>
      <c r="AD258" s="17" t="b">
        <f>Template!$D258=Template!$M258</f>
        <v>0</v>
      </c>
      <c r="AE258" s="12" t="s">
        <v>58</v>
      </c>
    </row>
    <row r="259" ht="15.75" customHeight="1">
      <c r="A259" s="7" t="s">
        <v>190</v>
      </c>
      <c r="B259" s="7" t="s">
        <v>160</v>
      </c>
      <c r="C259" s="7" t="s">
        <v>220</v>
      </c>
      <c r="D259" s="13">
        <v>19889.0</v>
      </c>
      <c r="E259" s="7" t="s">
        <v>203</v>
      </c>
      <c r="F259" s="13"/>
      <c r="G259" s="14" t="s">
        <v>63</v>
      </c>
      <c r="H259" s="7" t="s">
        <v>221</v>
      </c>
      <c r="I259" s="7" t="s">
        <v>222</v>
      </c>
      <c r="J259" s="7" t="s">
        <v>70</v>
      </c>
      <c r="K259" s="15">
        <v>44503.0</v>
      </c>
      <c r="L259" s="15">
        <v>33003.0</v>
      </c>
      <c r="M259" s="13">
        <v>18418.0</v>
      </c>
      <c r="N259" s="7"/>
      <c r="O259" s="7"/>
      <c r="P259" s="7">
        <v>13.33</v>
      </c>
      <c r="Q259" s="7"/>
      <c r="R259" s="20"/>
      <c r="S259" s="7"/>
      <c r="T259" s="20"/>
      <c r="U259" s="16">
        <f>SUM(Template!$N259:$O259)*Template!$P259+Template!$Q259</f>
        <v>0</v>
      </c>
      <c r="V259" s="17" t="str">
        <f>IF(Template!$M259="CONSELHO","N",IF(Template!$AA259="N","N1",IF(Template!$AA259="N1","N2",IF(Template!$AA259="N2","N3",IF(Template!$AA259="N3","N4",IF(Template!$AA259="N4","N5",IF(Template!$AA259="N5","N6",IF(Template!$AA259="N6","N7",IF(Template!$AA259="N7","N8",IF(Template!$AA259="N8","N9",IF(Template!$AA259="N9","N10","NA")))))))))))</f>
        <v>N4</v>
      </c>
      <c r="W259" s="17">
        <f>COUNTIF(Template!$M$3:$M$619,Template!$D259)</f>
        <v>0</v>
      </c>
      <c r="X259" s="17" t="str">
        <f>IF(Template!$F259="","",SUMIF(Template!$M$3:$M$619,Template!$D259,Template!$AC$3:$AC$619))</f>
        <v/>
      </c>
      <c r="Y259" s="17" t="str">
        <f>IFERROR(VLOOKUP(Template!$M259,Template!$D$3:$G$619,MATCH("EmployeeJobTitle",Template!$D$2:$G$2,0),FALSE),"NA")</f>
        <v>GERENTE DE LOJA</v>
      </c>
      <c r="Z259" s="17" t="str">
        <f>IFERROR(VLOOKUP(Template!$M259,Template!$D$3:$G$619,MATCH("EmployeeGroup",Template!$D$2:$G$2,0),FALSE),"NA")</f>
        <v>GERENTE</v>
      </c>
      <c r="AA259" s="17" t="str">
        <f>IFERROR(VLOOKUP(Template!$M259,Template!$D$3:$V$619,MATCH("Layer",Template!$D$2:$V$2,0),FALSE),"NA")</f>
        <v>N3</v>
      </c>
      <c r="AB259" s="21">
        <f>VLOOKUP(Template!$M259,Template!$D$3:$F$619,MATCH("InternalGrade",Template!$D$2:$F$2,0),FALSE)-Template!$F259</f>
        <v>0</v>
      </c>
      <c r="AC259" s="17">
        <f>IF(Template!$AB259&lt;=1, 0.8,IF(Template!$AB259=2,0.4,IF(Template!$AB259=3,0.2,IF(Template!$AB259=4,0.1,IF(Template!$AB259&gt;=5,0.05,"erro")))))</f>
        <v>0.8</v>
      </c>
      <c r="AD259" s="17" t="b">
        <f>Template!$D259=Template!$M259</f>
        <v>0</v>
      </c>
      <c r="AE259" s="12" t="s">
        <v>58</v>
      </c>
    </row>
    <row r="260" ht="15.75" customHeight="1">
      <c r="A260" s="7" t="s">
        <v>190</v>
      </c>
      <c r="B260" s="7" t="s">
        <v>160</v>
      </c>
      <c r="C260" s="7" t="s">
        <v>220</v>
      </c>
      <c r="D260" s="13">
        <v>19805.0</v>
      </c>
      <c r="E260" s="7" t="s">
        <v>198</v>
      </c>
      <c r="F260" s="13"/>
      <c r="G260" s="14" t="s">
        <v>63</v>
      </c>
      <c r="H260" s="7" t="s">
        <v>221</v>
      </c>
      <c r="I260" s="7" t="s">
        <v>222</v>
      </c>
      <c r="J260" s="7" t="s">
        <v>70</v>
      </c>
      <c r="K260" s="15">
        <v>44445.0</v>
      </c>
      <c r="L260" s="15">
        <v>36457.0</v>
      </c>
      <c r="M260" s="13">
        <v>18418.0</v>
      </c>
      <c r="N260" s="7">
        <v>1619.0</v>
      </c>
      <c r="O260" s="7"/>
      <c r="P260" s="7">
        <v>13.33</v>
      </c>
      <c r="Q260" s="7"/>
      <c r="R260" s="20"/>
      <c r="S260" s="7"/>
      <c r="T260" s="20"/>
      <c r="U260" s="16">
        <f>SUM(Template!$N260:$O260)*Template!$P260+Template!$Q260</f>
        <v>21581.27</v>
      </c>
      <c r="V260" s="17" t="str">
        <f>IF(Template!$M260="CONSELHO","N",IF(Template!$AA260="N","N1",IF(Template!$AA260="N1","N2",IF(Template!$AA260="N2","N3",IF(Template!$AA260="N3","N4",IF(Template!$AA260="N4","N5",IF(Template!$AA260="N5","N6",IF(Template!$AA260="N6","N7",IF(Template!$AA260="N7","N8",IF(Template!$AA260="N8","N9",IF(Template!$AA260="N9","N10","NA")))))))))))</f>
        <v>N4</v>
      </c>
      <c r="W260" s="17">
        <f>COUNTIF(Template!$M$3:$M$619,Template!$D260)</f>
        <v>0</v>
      </c>
      <c r="X260" s="17" t="str">
        <f>IF(Template!$F260="","",SUMIF(Template!$M$3:$M$619,Template!$D260,Template!$AC$3:$AC$619))</f>
        <v/>
      </c>
      <c r="Y260" s="17" t="str">
        <f>IFERROR(VLOOKUP(Template!$M260,Template!$D$3:$G$619,MATCH("EmployeeJobTitle",Template!$D$2:$G$2,0),FALSE),"NA")</f>
        <v>GERENTE DE LOJA</v>
      </c>
      <c r="Z260" s="17" t="str">
        <f>IFERROR(VLOOKUP(Template!$M260,Template!$D$3:$G$619,MATCH("EmployeeGroup",Template!$D$2:$G$2,0),FALSE),"NA")</f>
        <v>GERENTE</v>
      </c>
      <c r="AA260" s="17" t="str">
        <f>IFERROR(VLOOKUP(Template!$M260,Template!$D$3:$V$619,MATCH("Layer",Template!$D$2:$V$2,0),FALSE),"NA")</f>
        <v>N3</v>
      </c>
      <c r="AB260" s="21">
        <f>VLOOKUP(Template!$M260,Template!$D$3:$F$619,MATCH("InternalGrade",Template!$D$2:$F$2,0),FALSE)-Template!$F260</f>
        <v>0</v>
      </c>
      <c r="AC260" s="17">
        <f>IF(Template!$AB260&lt;=1, 0.8,IF(Template!$AB260=2,0.4,IF(Template!$AB260=3,0.2,IF(Template!$AB260=4,0.1,IF(Template!$AB260&gt;=5,0.05,"erro")))))</f>
        <v>0.8</v>
      </c>
      <c r="AD260" s="17" t="b">
        <f>Template!$D260=Template!$M260</f>
        <v>0</v>
      </c>
      <c r="AE260" s="12" t="s">
        <v>58</v>
      </c>
    </row>
    <row r="261" ht="15.75" customHeight="1">
      <c r="A261" s="7" t="s">
        <v>190</v>
      </c>
      <c r="B261" s="7" t="s">
        <v>160</v>
      </c>
      <c r="C261" s="7" t="s">
        <v>220</v>
      </c>
      <c r="D261" s="13">
        <v>25091.0</v>
      </c>
      <c r="E261" s="7" t="s">
        <v>193</v>
      </c>
      <c r="F261" s="13"/>
      <c r="G261" s="14" t="s">
        <v>63</v>
      </c>
      <c r="H261" s="7" t="s">
        <v>221</v>
      </c>
      <c r="I261" s="7" t="s">
        <v>222</v>
      </c>
      <c r="J261" s="7" t="s">
        <v>70</v>
      </c>
      <c r="K261" s="15">
        <v>45446.0</v>
      </c>
      <c r="L261" s="15">
        <v>31675.0</v>
      </c>
      <c r="M261" s="13">
        <v>18418.0</v>
      </c>
      <c r="N261" s="7"/>
      <c r="O261" s="7"/>
      <c r="P261" s="7">
        <v>13.33</v>
      </c>
      <c r="Q261" s="7"/>
      <c r="R261" s="20"/>
      <c r="S261" s="7"/>
      <c r="T261" s="20"/>
      <c r="U261" s="16">
        <f>SUM(Template!$N261:$O261)*Template!$P261+Template!$Q261</f>
        <v>0</v>
      </c>
      <c r="V261" s="17" t="str">
        <f>IF(Template!$M261="CONSELHO","N",IF(Template!$AA261="N","N1",IF(Template!$AA261="N1","N2",IF(Template!$AA261="N2","N3",IF(Template!$AA261="N3","N4",IF(Template!$AA261="N4","N5",IF(Template!$AA261="N5","N6",IF(Template!$AA261="N6","N7",IF(Template!$AA261="N7","N8",IF(Template!$AA261="N8","N9",IF(Template!$AA261="N9","N10","NA")))))))))))</f>
        <v>N4</v>
      </c>
      <c r="W261" s="17">
        <f>COUNTIF(Template!$M$3:$M$619,Template!$D261)</f>
        <v>0</v>
      </c>
      <c r="X261" s="17" t="str">
        <f>IF(Template!$F261="","",SUMIF(Template!$M$3:$M$619,Template!$D261,Template!$AC$3:$AC$619))</f>
        <v/>
      </c>
      <c r="Y261" s="17" t="str">
        <f>IFERROR(VLOOKUP(Template!$M261,Template!$D$3:$G$619,MATCH("EmployeeJobTitle",Template!$D$2:$G$2,0),FALSE),"NA")</f>
        <v>GERENTE DE LOJA</v>
      </c>
      <c r="Z261" s="17" t="str">
        <f>IFERROR(VLOOKUP(Template!$M261,Template!$D$3:$G$619,MATCH("EmployeeGroup",Template!$D$2:$G$2,0),FALSE),"NA")</f>
        <v>GERENTE</v>
      </c>
      <c r="AA261" s="17" t="str">
        <f>IFERROR(VLOOKUP(Template!$M261,Template!$D$3:$V$619,MATCH("Layer",Template!$D$2:$V$2,0),FALSE),"NA")</f>
        <v>N3</v>
      </c>
      <c r="AB261" s="21">
        <f>VLOOKUP(Template!$M261,Template!$D$3:$F$619,MATCH("InternalGrade",Template!$D$2:$F$2,0),FALSE)-Template!$F261</f>
        <v>0</v>
      </c>
      <c r="AC261" s="17">
        <f>IF(Template!$AB261&lt;=1, 0.8,IF(Template!$AB261=2,0.4,IF(Template!$AB261=3,0.2,IF(Template!$AB261=4,0.1,IF(Template!$AB261&gt;=5,0.05,"erro")))))</f>
        <v>0.8</v>
      </c>
      <c r="AD261" s="17" t="b">
        <f>Template!$D261=Template!$M261</f>
        <v>0</v>
      </c>
      <c r="AE261" s="12" t="s">
        <v>58</v>
      </c>
    </row>
    <row r="262" ht="15.75" customHeight="1">
      <c r="A262" s="7" t="s">
        <v>190</v>
      </c>
      <c r="B262" s="7" t="s">
        <v>160</v>
      </c>
      <c r="C262" s="7" t="s">
        <v>223</v>
      </c>
      <c r="D262" s="13">
        <v>25137.0</v>
      </c>
      <c r="E262" s="7" t="s">
        <v>219</v>
      </c>
      <c r="F262" s="13"/>
      <c r="G262" s="22" t="s">
        <v>200</v>
      </c>
      <c r="H262" s="7" t="s">
        <v>221</v>
      </c>
      <c r="I262" s="7" t="s">
        <v>222</v>
      </c>
      <c r="J262" s="7" t="s">
        <v>70</v>
      </c>
      <c r="K262" s="15">
        <v>45460.0</v>
      </c>
      <c r="L262" s="15">
        <v>27978.0</v>
      </c>
      <c r="M262" s="13">
        <v>12404.0</v>
      </c>
      <c r="N262" s="7">
        <v>5500.0</v>
      </c>
      <c r="O262" s="7"/>
      <c r="P262" s="7">
        <v>13.33</v>
      </c>
      <c r="Q262" s="7"/>
      <c r="R262" s="20"/>
      <c r="S262" s="7"/>
      <c r="T262" s="20"/>
      <c r="U262" s="16">
        <f>SUM(Template!$N262:$O262)*Template!$P262+Template!$Q262</f>
        <v>73315</v>
      </c>
      <c r="V262" s="17" t="str">
        <f>IF(Template!$M262="CONSELHO","N",IF(Template!$AA262="N","N1",IF(Template!$AA262="N1","N2",IF(Template!$AA262="N2","N3",IF(Template!$AA262="N3","N4",IF(Template!$AA262="N4","N5",IF(Template!$AA262="N5","N6",IF(Template!$AA262="N6","N7",IF(Template!$AA262="N7","N8",IF(Template!$AA262="N8","N9",IF(Template!$AA262="N9","N10","NA")))))))))))</f>
        <v>N3</v>
      </c>
      <c r="W262" s="17">
        <f>COUNTIF(Template!$M$3:$M$619,Template!$D262)</f>
        <v>8</v>
      </c>
      <c r="X262" s="17" t="str">
        <f>IF(Template!$F262="","",SUMIF(Template!$M$3:$M$619,Template!$D262,Template!$AC$3:$AC$619))</f>
        <v/>
      </c>
      <c r="Y262" s="17" t="str">
        <f>IFERROR(VLOOKUP(Template!$M262,Template!$D$3:$G$619,MATCH("EmployeeJobTitle",Template!$D$2:$G$2,0),FALSE),"NA")</f>
        <v>GERENTE COMERCIAL</v>
      </c>
      <c r="Z262" s="17" t="str">
        <f>IFERROR(VLOOKUP(Template!$M262,Template!$D$3:$G$619,MATCH("EmployeeGroup",Template!$D$2:$G$2,0),FALSE),"NA")</f>
        <v>Coordenador</v>
      </c>
      <c r="AA262" s="17" t="str">
        <f>IFERROR(VLOOKUP(Template!$M262,Template!$D$3:$V$619,MATCH("Layer",Template!$D$2:$V$2,0),FALSE),"NA")</f>
        <v>N2</v>
      </c>
      <c r="AB262" s="21">
        <f>VLOOKUP(Template!$M262,Template!$D$3:$F$619,MATCH("InternalGrade",Template!$D$2:$F$2,0),FALSE)-Template!$F262</f>
        <v>19</v>
      </c>
      <c r="AC262" s="17">
        <f>IF(Template!$AB262&lt;=1, 0.8,IF(Template!$AB262=2,0.4,IF(Template!$AB262=3,0.2,IF(Template!$AB262=4,0.1,IF(Template!$AB262&gt;=5,0.05,"erro")))))</f>
        <v>0.05</v>
      </c>
      <c r="AD262" s="17" t="b">
        <f>Template!$D262=Template!$M262</f>
        <v>0</v>
      </c>
      <c r="AE262" s="12" t="s">
        <v>58</v>
      </c>
    </row>
    <row r="263" ht="15.75" customHeight="1">
      <c r="A263" s="7" t="s">
        <v>190</v>
      </c>
      <c r="B263" s="7" t="s">
        <v>160</v>
      </c>
      <c r="C263" s="7" t="s">
        <v>223</v>
      </c>
      <c r="D263" s="13">
        <v>21026.0</v>
      </c>
      <c r="E263" s="7" t="s">
        <v>193</v>
      </c>
      <c r="F263" s="13"/>
      <c r="G263" s="14" t="s">
        <v>63</v>
      </c>
      <c r="H263" s="7" t="s">
        <v>224</v>
      </c>
      <c r="I263" s="7" t="s">
        <v>225</v>
      </c>
      <c r="J263" s="7" t="s">
        <v>70</v>
      </c>
      <c r="K263" s="15">
        <v>44753.0</v>
      </c>
      <c r="L263" s="15">
        <v>25729.0</v>
      </c>
      <c r="M263" s="13">
        <v>25137.0</v>
      </c>
      <c r="N263" s="7"/>
      <c r="O263" s="7"/>
      <c r="P263" s="7">
        <v>13.33</v>
      </c>
      <c r="Q263" s="7"/>
      <c r="R263" s="20"/>
      <c r="S263" s="7"/>
      <c r="T263" s="20"/>
      <c r="U263" s="16">
        <f>SUM(Template!$N263:$O263)*Template!$P263+Template!$Q263</f>
        <v>0</v>
      </c>
      <c r="V263" s="17" t="str">
        <f>IF(Template!$M263="CONSELHO","N",IF(Template!$AA263="N","N1",IF(Template!$AA263="N1","N2",IF(Template!$AA263="N2","N3",IF(Template!$AA263="N3","N4",IF(Template!$AA263="N4","N5",IF(Template!$AA263="N5","N6",IF(Template!$AA263="N6","N7",IF(Template!$AA263="N7","N8",IF(Template!$AA263="N8","N9",IF(Template!$AA263="N9","N10","NA")))))))))))</f>
        <v>N4</v>
      </c>
      <c r="W263" s="17">
        <f>COUNTIF(Template!$M$3:$M$619,Template!$D263)</f>
        <v>0</v>
      </c>
      <c r="X263" s="17" t="str">
        <f>IF(Template!$F263="","",SUMIF(Template!$M$3:$M$619,Template!$D263,Template!$AC$3:$AC$619))</f>
        <v/>
      </c>
      <c r="Y263" s="17" t="str">
        <f>IFERROR(VLOOKUP(Template!$M263,Template!$D$3:$G$619,MATCH("EmployeeJobTitle",Template!$D$2:$G$2,0),FALSE),"NA")</f>
        <v>GERENTE DE LOJA PL</v>
      </c>
      <c r="Z263" s="17" t="str">
        <f>IFERROR(VLOOKUP(Template!$M263,Template!$D$3:$G$619,MATCH("EmployeeGroup",Template!$D$2:$G$2,0),FALSE),"NA")</f>
        <v>GERENTE</v>
      </c>
      <c r="AA263" s="17" t="str">
        <f>IFERROR(VLOOKUP(Template!$M263,Template!$D$3:$V$619,MATCH("Layer",Template!$D$2:$V$2,0),FALSE),"NA")</f>
        <v>N3</v>
      </c>
      <c r="AB263" s="21">
        <f>VLOOKUP(Template!$M263,Template!$D$3:$F$619,MATCH("InternalGrade",Template!$D$2:$F$2,0),FALSE)-Template!$F263</f>
        <v>0</v>
      </c>
      <c r="AC263" s="17">
        <f>IF(Template!$AB263&lt;=1, 0.8,IF(Template!$AB263=2,0.4,IF(Template!$AB263=3,0.2,IF(Template!$AB263=4,0.1,IF(Template!$AB263&gt;=5,0.05,"erro")))))</f>
        <v>0.8</v>
      </c>
      <c r="AD263" s="17" t="b">
        <f>Template!$D263=Template!$M263</f>
        <v>0</v>
      </c>
      <c r="AE263" s="12" t="s">
        <v>58</v>
      </c>
    </row>
    <row r="264" ht="15.75" customHeight="1">
      <c r="A264" s="7" t="s">
        <v>190</v>
      </c>
      <c r="B264" s="7" t="s">
        <v>160</v>
      </c>
      <c r="C264" s="7" t="s">
        <v>223</v>
      </c>
      <c r="D264" s="13">
        <v>16220.0</v>
      </c>
      <c r="E264" s="7" t="s">
        <v>193</v>
      </c>
      <c r="F264" s="13"/>
      <c r="G264" s="14" t="s">
        <v>63</v>
      </c>
      <c r="H264" s="7" t="s">
        <v>224</v>
      </c>
      <c r="I264" s="7" t="s">
        <v>225</v>
      </c>
      <c r="J264" s="7" t="s">
        <v>70</v>
      </c>
      <c r="K264" s="15">
        <v>42968.0</v>
      </c>
      <c r="L264" s="15">
        <v>31230.0</v>
      </c>
      <c r="M264" s="13">
        <v>25137.0</v>
      </c>
      <c r="N264" s="7"/>
      <c r="O264" s="7"/>
      <c r="P264" s="7">
        <v>13.33</v>
      </c>
      <c r="Q264" s="7"/>
      <c r="R264" s="20"/>
      <c r="S264" s="7"/>
      <c r="T264" s="20"/>
      <c r="U264" s="16">
        <f>SUM(Template!$N264:$O264)*Template!$P264+Template!$Q264</f>
        <v>0</v>
      </c>
      <c r="V264" s="17" t="str">
        <f>IF(Template!$M264="CONSELHO","N",IF(Template!$AA264="N","N1",IF(Template!$AA264="N1","N2",IF(Template!$AA264="N2","N3",IF(Template!$AA264="N3","N4",IF(Template!$AA264="N4","N5",IF(Template!$AA264="N5","N6",IF(Template!$AA264="N6","N7",IF(Template!$AA264="N7","N8",IF(Template!$AA264="N8","N9",IF(Template!$AA264="N9","N10","NA")))))))))))</f>
        <v>N4</v>
      </c>
      <c r="W264" s="17">
        <f>COUNTIF(Template!$M$3:$M$619,Template!$D264)</f>
        <v>0</v>
      </c>
      <c r="X264" s="17" t="str">
        <f>IF(Template!$F264="","",SUMIF(Template!$M$3:$M$619,Template!$D264,Template!$AC$3:$AC$619))</f>
        <v/>
      </c>
      <c r="Y264" s="17" t="str">
        <f>IFERROR(VLOOKUP(Template!$M264,Template!$D$3:$G$619,MATCH("EmployeeJobTitle",Template!$D$2:$G$2,0),FALSE),"NA")</f>
        <v>GERENTE DE LOJA PL</v>
      </c>
      <c r="Z264" s="17" t="str">
        <f>IFERROR(VLOOKUP(Template!$M264,Template!$D$3:$G$619,MATCH("EmployeeGroup",Template!$D$2:$G$2,0),FALSE),"NA")</f>
        <v>GERENTE</v>
      </c>
      <c r="AA264" s="17" t="str">
        <f>IFERROR(VLOOKUP(Template!$M264,Template!$D$3:$V$619,MATCH("Layer",Template!$D$2:$V$2,0),FALSE),"NA")</f>
        <v>N3</v>
      </c>
      <c r="AB264" s="21">
        <f>VLOOKUP(Template!$M264,Template!$D$3:$F$619,MATCH("InternalGrade",Template!$D$2:$F$2,0),FALSE)-Template!$F264</f>
        <v>0</v>
      </c>
      <c r="AC264" s="17">
        <f>IF(Template!$AB264&lt;=1, 0.8,IF(Template!$AB264=2,0.4,IF(Template!$AB264=3,0.2,IF(Template!$AB264=4,0.1,IF(Template!$AB264&gt;=5,0.05,"erro")))))</f>
        <v>0.8</v>
      </c>
      <c r="AD264" s="17" t="b">
        <f>Template!$D264=Template!$M264</f>
        <v>0</v>
      </c>
      <c r="AE264" s="12" t="s">
        <v>58</v>
      </c>
    </row>
    <row r="265" ht="15.75" customHeight="1">
      <c r="A265" s="7" t="s">
        <v>190</v>
      </c>
      <c r="B265" s="7" t="s">
        <v>160</v>
      </c>
      <c r="C265" s="7" t="s">
        <v>223</v>
      </c>
      <c r="D265" s="13">
        <v>25200.0</v>
      </c>
      <c r="E265" s="7" t="s">
        <v>196</v>
      </c>
      <c r="F265" s="13"/>
      <c r="G265" s="14" t="s">
        <v>63</v>
      </c>
      <c r="H265" s="7" t="s">
        <v>224</v>
      </c>
      <c r="I265" s="7" t="s">
        <v>225</v>
      </c>
      <c r="J265" s="7" t="s">
        <v>70</v>
      </c>
      <c r="K265" s="15">
        <v>45488.0</v>
      </c>
      <c r="L265" s="15">
        <v>31527.0</v>
      </c>
      <c r="M265" s="13">
        <v>25137.0</v>
      </c>
      <c r="N265" s="7">
        <v>1578.25</v>
      </c>
      <c r="O265" s="7"/>
      <c r="P265" s="7">
        <v>13.33</v>
      </c>
      <c r="Q265" s="7"/>
      <c r="R265" s="20"/>
      <c r="S265" s="7"/>
      <c r="T265" s="20"/>
      <c r="U265" s="16">
        <f>SUM(Template!$N265:$O265)*Template!$P265+Template!$Q265</f>
        <v>21038.0725</v>
      </c>
      <c r="V265" s="17" t="str">
        <f>IF(Template!$M265="CONSELHO","N",IF(Template!$AA265="N","N1",IF(Template!$AA265="N1","N2",IF(Template!$AA265="N2","N3",IF(Template!$AA265="N3","N4",IF(Template!$AA265="N4","N5",IF(Template!$AA265="N5","N6",IF(Template!$AA265="N6","N7",IF(Template!$AA265="N7","N8",IF(Template!$AA265="N8","N9",IF(Template!$AA265="N9","N10","NA")))))))))))</f>
        <v>N4</v>
      </c>
      <c r="W265" s="17">
        <f>COUNTIF(Template!$M$3:$M$619,Template!$D265)</f>
        <v>0</v>
      </c>
      <c r="X265" s="17" t="str">
        <f>IF(Template!$F265="","",SUMIF(Template!$M$3:$M$619,Template!$D265,Template!$AC$3:$AC$619))</f>
        <v/>
      </c>
      <c r="Y265" s="17" t="str">
        <f>IFERROR(VLOOKUP(Template!$M265,Template!$D$3:$G$619,MATCH("EmployeeJobTitle",Template!$D$2:$G$2,0),FALSE),"NA")</f>
        <v>GERENTE DE LOJA PL</v>
      </c>
      <c r="Z265" s="17" t="str">
        <f>IFERROR(VLOOKUP(Template!$M265,Template!$D$3:$G$619,MATCH("EmployeeGroup",Template!$D$2:$G$2,0),FALSE),"NA")</f>
        <v>GERENTE</v>
      </c>
      <c r="AA265" s="17" t="str">
        <f>IFERROR(VLOOKUP(Template!$M265,Template!$D$3:$V$619,MATCH("Layer",Template!$D$2:$V$2,0),FALSE),"NA")</f>
        <v>N3</v>
      </c>
      <c r="AB265" s="21">
        <f>VLOOKUP(Template!$M265,Template!$D$3:$F$619,MATCH("InternalGrade",Template!$D$2:$F$2,0),FALSE)-Template!$F265</f>
        <v>0</v>
      </c>
      <c r="AC265" s="17">
        <f>IF(Template!$AB265&lt;=1, 0.8,IF(Template!$AB265=2,0.4,IF(Template!$AB265=3,0.2,IF(Template!$AB265=4,0.1,IF(Template!$AB265&gt;=5,0.05,"erro")))))</f>
        <v>0.8</v>
      </c>
      <c r="AD265" s="17" t="b">
        <f>Template!$D265=Template!$M265</f>
        <v>0</v>
      </c>
      <c r="AE265" s="12" t="s">
        <v>58</v>
      </c>
    </row>
    <row r="266" ht="15.75" customHeight="1">
      <c r="A266" s="7" t="s">
        <v>190</v>
      </c>
      <c r="B266" s="7" t="s">
        <v>160</v>
      </c>
      <c r="C266" s="7" t="s">
        <v>223</v>
      </c>
      <c r="D266" s="13">
        <v>20490.0</v>
      </c>
      <c r="E266" s="7" t="s">
        <v>193</v>
      </c>
      <c r="F266" s="13"/>
      <c r="G266" s="14" t="s">
        <v>63</v>
      </c>
      <c r="H266" s="7" t="s">
        <v>224</v>
      </c>
      <c r="I266" s="7" t="s">
        <v>225</v>
      </c>
      <c r="J266" s="7" t="s">
        <v>70</v>
      </c>
      <c r="K266" s="15">
        <v>44669.0</v>
      </c>
      <c r="L266" s="15">
        <v>35643.0</v>
      </c>
      <c r="M266" s="13">
        <v>25137.0</v>
      </c>
      <c r="N266" s="7"/>
      <c r="O266" s="7"/>
      <c r="P266" s="7">
        <v>13.33</v>
      </c>
      <c r="Q266" s="7"/>
      <c r="R266" s="20"/>
      <c r="S266" s="7"/>
      <c r="T266" s="20"/>
      <c r="U266" s="16">
        <f>SUM(Template!$N266:$O266)*Template!$P266+Template!$Q266</f>
        <v>0</v>
      </c>
      <c r="V266" s="17" t="str">
        <f>IF(Template!$M266="CONSELHO","N",IF(Template!$AA266="N","N1",IF(Template!$AA266="N1","N2",IF(Template!$AA266="N2","N3",IF(Template!$AA266="N3","N4",IF(Template!$AA266="N4","N5",IF(Template!$AA266="N5","N6",IF(Template!$AA266="N6","N7",IF(Template!$AA266="N7","N8",IF(Template!$AA266="N8","N9",IF(Template!$AA266="N9","N10","NA")))))))))))</f>
        <v>N4</v>
      </c>
      <c r="W266" s="17">
        <f>COUNTIF(Template!$M$3:$M$619,Template!$D266)</f>
        <v>0</v>
      </c>
      <c r="X266" s="17" t="str">
        <f>IF(Template!$F266="","",SUMIF(Template!$M$3:$M$619,Template!$D266,Template!$AC$3:$AC$619))</f>
        <v/>
      </c>
      <c r="Y266" s="17" t="str">
        <f>IFERROR(VLOOKUP(Template!$M266,Template!$D$3:$G$619,MATCH("EmployeeJobTitle",Template!$D$2:$G$2,0),FALSE),"NA")</f>
        <v>GERENTE DE LOJA PL</v>
      </c>
      <c r="Z266" s="17" t="str">
        <f>IFERROR(VLOOKUP(Template!$M266,Template!$D$3:$G$619,MATCH("EmployeeGroup",Template!$D$2:$G$2,0),FALSE),"NA")</f>
        <v>GERENTE</v>
      </c>
      <c r="AA266" s="17" t="str">
        <f>IFERROR(VLOOKUP(Template!$M266,Template!$D$3:$V$619,MATCH("Layer",Template!$D$2:$V$2,0),FALSE),"NA")</f>
        <v>N3</v>
      </c>
      <c r="AB266" s="21">
        <f>VLOOKUP(Template!$M266,Template!$D$3:$F$619,MATCH("InternalGrade",Template!$D$2:$F$2,0),FALSE)-Template!$F266</f>
        <v>0</v>
      </c>
      <c r="AC266" s="17">
        <f>IF(Template!$AB266&lt;=1, 0.8,IF(Template!$AB266=2,0.4,IF(Template!$AB266=3,0.2,IF(Template!$AB266=4,0.1,IF(Template!$AB266&gt;=5,0.05,"erro")))))</f>
        <v>0.8</v>
      </c>
      <c r="AD266" s="17" t="b">
        <f>Template!$D266=Template!$M266</f>
        <v>0</v>
      </c>
      <c r="AE266" s="12" t="s">
        <v>58</v>
      </c>
    </row>
    <row r="267" ht="15.75" customHeight="1">
      <c r="A267" s="7" t="s">
        <v>190</v>
      </c>
      <c r="B267" s="7" t="s">
        <v>160</v>
      </c>
      <c r="C267" s="7" t="s">
        <v>223</v>
      </c>
      <c r="D267" s="13">
        <v>25183.0</v>
      </c>
      <c r="E267" s="7" t="s">
        <v>193</v>
      </c>
      <c r="F267" s="13"/>
      <c r="G267" s="14" t="s">
        <v>63</v>
      </c>
      <c r="H267" s="7" t="s">
        <v>224</v>
      </c>
      <c r="I267" s="7" t="s">
        <v>225</v>
      </c>
      <c r="J267" s="7" t="s">
        <v>70</v>
      </c>
      <c r="K267" s="15">
        <v>45478.0</v>
      </c>
      <c r="L267" s="15">
        <v>28313.0</v>
      </c>
      <c r="M267" s="13">
        <v>25137.0</v>
      </c>
      <c r="N267" s="7"/>
      <c r="O267" s="7"/>
      <c r="P267" s="7">
        <v>13.33</v>
      </c>
      <c r="Q267" s="7"/>
      <c r="R267" s="20"/>
      <c r="S267" s="7"/>
      <c r="T267" s="20"/>
      <c r="U267" s="16">
        <f>SUM(Template!$N267:$O267)*Template!$P267+Template!$Q267</f>
        <v>0</v>
      </c>
      <c r="V267" s="17" t="str">
        <f>IF(Template!$M267="CONSELHO","N",IF(Template!$AA267="N","N1",IF(Template!$AA267="N1","N2",IF(Template!$AA267="N2","N3",IF(Template!$AA267="N3","N4",IF(Template!$AA267="N4","N5",IF(Template!$AA267="N5","N6",IF(Template!$AA267="N6","N7",IF(Template!$AA267="N7","N8",IF(Template!$AA267="N8","N9",IF(Template!$AA267="N9","N10","NA")))))))))))</f>
        <v>N4</v>
      </c>
      <c r="W267" s="17">
        <f>COUNTIF(Template!$M$3:$M$619,Template!$D267)</f>
        <v>0</v>
      </c>
      <c r="X267" s="17" t="str">
        <f>IF(Template!$F267="","",SUMIF(Template!$M$3:$M$619,Template!$D267,Template!$AC$3:$AC$619))</f>
        <v/>
      </c>
      <c r="Y267" s="17" t="str">
        <f>IFERROR(VLOOKUP(Template!$M267,Template!$D$3:$G$619,MATCH("EmployeeJobTitle",Template!$D$2:$G$2,0),FALSE),"NA")</f>
        <v>GERENTE DE LOJA PL</v>
      </c>
      <c r="Z267" s="17" t="str">
        <f>IFERROR(VLOOKUP(Template!$M267,Template!$D$3:$G$619,MATCH("EmployeeGroup",Template!$D$2:$G$2,0),FALSE),"NA")</f>
        <v>GERENTE</v>
      </c>
      <c r="AA267" s="17" t="str">
        <f>IFERROR(VLOOKUP(Template!$M267,Template!$D$3:$V$619,MATCH("Layer",Template!$D$2:$V$2,0),FALSE),"NA")</f>
        <v>N3</v>
      </c>
      <c r="AB267" s="21">
        <f>VLOOKUP(Template!$M267,Template!$D$3:$F$619,MATCH("InternalGrade",Template!$D$2:$F$2,0),FALSE)-Template!$F267</f>
        <v>0</v>
      </c>
      <c r="AC267" s="17">
        <f>IF(Template!$AB267&lt;=1, 0.8,IF(Template!$AB267=2,0.4,IF(Template!$AB267=3,0.2,IF(Template!$AB267=4,0.1,IF(Template!$AB267&gt;=5,0.05,"erro")))))</f>
        <v>0.8</v>
      </c>
      <c r="AD267" s="17" t="b">
        <f>Template!$D267=Template!$M267</f>
        <v>0</v>
      </c>
      <c r="AE267" s="12" t="s">
        <v>58</v>
      </c>
    </row>
    <row r="268" ht="15.75" customHeight="1">
      <c r="A268" s="7" t="s">
        <v>190</v>
      </c>
      <c r="B268" s="7" t="s">
        <v>160</v>
      </c>
      <c r="C268" s="7" t="s">
        <v>223</v>
      </c>
      <c r="D268" s="13">
        <v>25369.0</v>
      </c>
      <c r="E268" s="7" t="s">
        <v>196</v>
      </c>
      <c r="F268" s="13"/>
      <c r="G268" s="14" t="s">
        <v>63</v>
      </c>
      <c r="H268" s="7" t="s">
        <v>224</v>
      </c>
      <c r="I268" s="7" t="s">
        <v>225</v>
      </c>
      <c r="J268" s="7" t="s">
        <v>70</v>
      </c>
      <c r="K268" s="15">
        <v>45544.0</v>
      </c>
      <c r="L268" s="15">
        <v>26527.0</v>
      </c>
      <c r="M268" s="13">
        <v>25137.0</v>
      </c>
      <c r="N268" s="7">
        <v>1578.25</v>
      </c>
      <c r="O268" s="7"/>
      <c r="P268" s="7">
        <v>13.33</v>
      </c>
      <c r="Q268" s="7"/>
      <c r="R268" s="20"/>
      <c r="S268" s="7"/>
      <c r="T268" s="20"/>
      <c r="U268" s="16">
        <f>SUM(Template!$N268:$O268)*Template!$P268+Template!$Q268</f>
        <v>21038.0725</v>
      </c>
      <c r="V268" s="17" t="str">
        <f>IF(Template!$M268="CONSELHO","N",IF(Template!$AA268="N","N1",IF(Template!$AA268="N1","N2",IF(Template!$AA268="N2","N3",IF(Template!$AA268="N3","N4",IF(Template!$AA268="N4","N5",IF(Template!$AA268="N5","N6",IF(Template!$AA268="N6","N7",IF(Template!$AA268="N7","N8",IF(Template!$AA268="N8","N9",IF(Template!$AA268="N9","N10","NA")))))))))))</f>
        <v>N4</v>
      </c>
      <c r="W268" s="17">
        <f>COUNTIF(Template!$M$3:$M$619,Template!$D268)</f>
        <v>0</v>
      </c>
      <c r="X268" s="17" t="str">
        <f>IF(Template!$F268="","",SUMIF(Template!$M$3:$M$619,Template!$D268,Template!$AC$3:$AC$619))</f>
        <v/>
      </c>
      <c r="Y268" s="17" t="str">
        <f>IFERROR(VLOOKUP(Template!$M268,Template!$D$3:$G$619,MATCH("EmployeeJobTitle",Template!$D$2:$G$2,0),FALSE),"NA")</f>
        <v>GERENTE DE LOJA PL</v>
      </c>
      <c r="Z268" s="17" t="str">
        <f>IFERROR(VLOOKUP(Template!$M268,Template!$D$3:$G$619,MATCH("EmployeeGroup",Template!$D$2:$G$2,0),FALSE),"NA")</f>
        <v>GERENTE</v>
      </c>
      <c r="AA268" s="17" t="str">
        <f>IFERROR(VLOOKUP(Template!$M268,Template!$D$3:$V$619,MATCH("Layer",Template!$D$2:$V$2,0),FALSE),"NA")</f>
        <v>N3</v>
      </c>
      <c r="AB268" s="21">
        <f>VLOOKUP(Template!$M268,Template!$D$3:$F$619,MATCH("InternalGrade",Template!$D$2:$F$2,0),FALSE)-Template!$F268</f>
        <v>0</v>
      </c>
      <c r="AC268" s="17">
        <f>IF(Template!$AB268&lt;=1, 0.8,IF(Template!$AB268=2,0.4,IF(Template!$AB268=3,0.2,IF(Template!$AB268=4,0.1,IF(Template!$AB268&gt;=5,0.05,"erro")))))</f>
        <v>0.8</v>
      </c>
      <c r="AD268" s="17" t="b">
        <f>Template!$D268=Template!$M268</f>
        <v>0</v>
      </c>
      <c r="AE268" s="12" t="s">
        <v>58</v>
      </c>
    </row>
    <row r="269" ht="15.75" customHeight="1">
      <c r="A269" s="7" t="s">
        <v>190</v>
      </c>
      <c r="B269" s="7" t="s">
        <v>160</v>
      </c>
      <c r="C269" s="7" t="s">
        <v>223</v>
      </c>
      <c r="D269" s="13">
        <v>25393.0</v>
      </c>
      <c r="E269" s="7" t="s">
        <v>193</v>
      </c>
      <c r="F269" s="13"/>
      <c r="G269" s="14" t="s">
        <v>63</v>
      </c>
      <c r="H269" s="7" t="s">
        <v>224</v>
      </c>
      <c r="I269" s="7" t="s">
        <v>225</v>
      </c>
      <c r="J269" s="7" t="s">
        <v>70</v>
      </c>
      <c r="K269" s="15">
        <v>45554.0</v>
      </c>
      <c r="L269" s="15">
        <v>26986.0</v>
      </c>
      <c r="M269" s="13">
        <v>25137.0</v>
      </c>
      <c r="N269" s="7"/>
      <c r="O269" s="7"/>
      <c r="P269" s="7">
        <v>13.33</v>
      </c>
      <c r="Q269" s="7"/>
      <c r="R269" s="20"/>
      <c r="S269" s="7"/>
      <c r="T269" s="20"/>
      <c r="U269" s="16">
        <f>SUM(Template!$N269:$O269)*Template!$P269+Template!$Q269</f>
        <v>0</v>
      </c>
      <c r="V269" s="17" t="str">
        <f>IF(Template!$M269="CONSELHO","N",IF(Template!$AA269="N","N1",IF(Template!$AA269="N1","N2",IF(Template!$AA269="N2","N3",IF(Template!$AA269="N3","N4",IF(Template!$AA269="N4","N5",IF(Template!$AA269="N5","N6",IF(Template!$AA269="N6","N7",IF(Template!$AA269="N7","N8",IF(Template!$AA269="N8","N9",IF(Template!$AA269="N9","N10","NA")))))))))))</f>
        <v>N4</v>
      </c>
      <c r="W269" s="17">
        <f>COUNTIF(Template!$M$3:$M$619,Template!$D269)</f>
        <v>0</v>
      </c>
      <c r="X269" s="17" t="str">
        <f>IF(Template!$F269="","",SUMIF(Template!$M$3:$M$619,Template!$D269,Template!$AC$3:$AC$619))</f>
        <v/>
      </c>
      <c r="Y269" s="17" t="str">
        <f>IFERROR(VLOOKUP(Template!$M269,Template!$D$3:$G$619,MATCH("EmployeeJobTitle",Template!$D$2:$G$2,0),FALSE),"NA")</f>
        <v>GERENTE DE LOJA PL</v>
      </c>
      <c r="Z269" s="17" t="str">
        <f>IFERROR(VLOOKUP(Template!$M269,Template!$D$3:$G$619,MATCH("EmployeeGroup",Template!$D$2:$G$2,0),FALSE),"NA")</f>
        <v>GERENTE</v>
      </c>
      <c r="AA269" s="17" t="str">
        <f>IFERROR(VLOOKUP(Template!$M269,Template!$D$3:$V$619,MATCH("Layer",Template!$D$2:$V$2,0),FALSE),"NA")</f>
        <v>N3</v>
      </c>
      <c r="AB269" s="21">
        <f>VLOOKUP(Template!$M269,Template!$D$3:$F$619,MATCH("InternalGrade",Template!$D$2:$F$2,0),FALSE)-Template!$F269</f>
        <v>0</v>
      </c>
      <c r="AC269" s="17">
        <f>IF(Template!$AB269&lt;=1, 0.8,IF(Template!$AB269=2,0.4,IF(Template!$AB269=3,0.2,IF(Template!$AB269=4,0.1,IF(Template!$AB269&gt;=5,0.05,"erro")))))</f>
        <v>0.8</v>
      </c>
      <c r="AD269" s="17" t="b">
        <f>Template!$D269=Template!$M269</f>
        <v>0</v>
      </c>
      <c r="AE269" s="12" t="s">
        <v>58</v>
      </c>
    </row>
    <row r="270" ht="15.75" customHeight="1">
      <c r="A270" s="7" t="s">
        <v>190</v>
      </c>
      <c r="B270" s="7" t="s">
        <v>160</v>
      </c>
      <c r="C270" s="7" t="s">
        <v>223</v>
      </c>
      <c r="D270" s="13">
        <v>25320.0</v>
      </c>
      <c r="E270" s="7" t="s">
        <v>198</v>
      </c>
      <c r="F270" s="13"/>
      <c r="G270" s="14" t="s">
        <v>63</v>
      </c>
      <c r="H270" s="7" t="s">
        <v>224</v>
      </c>
      <c r="I270" s="7" t="s">
        <v>225</v>
      </c>
      <c r="J270" s="7" t="s">
        <v>70</v>
      </c>
      <c r="K270" s="15">
        <v>45523.0</v>
      </c>
      <c r="L270" s="15">
        <v>26792.0</v>
      </c>
      <c r="M270" s="13">
        <v>25137.0</v>
      </c>
      <c r="N270" s="7">
        <v>1578.25</v>
      </c>
      <c r="O270" s="7"/>
      <c r="P270" s="7">
        <v>13.33</v>
      </c>
      <c r="Q270" s="7"/>
      <c r="R270" s="20"/>
      <c r="S270" s="7"/>
      <c r="T270" s="20"/>
      <c r="U270" s="16">
        <f>SUM(Template!$N270:$O270)*Template!$P270+Template!$Q270</f>
        <v>21038.0725</v>
      </c>
      <c r="V270" s="17" t="str">
        <f>IF(Template!$M270="CONSELHO","N",IF(Template!$AA270="N","N1",IF(Template!$AA270="N1","N2",IF(Template!$AA270="N2","N3",IF(Template!$AA270="N3","N4",IF(Template!$AA270="N4","N5",IF(Template!$AA270="N5","N6",IF(Template!$AA270="N6","N7",IF(Template!$AA270="N7","N8",IF(Template!$AA270="N8","N9",IF(Template!$AA270="N9","N10","NA")))))))))))</f>
        <v>N4</v>
      </c>
      <c r="W270" s="17">
        <f>COUNTIF(Template!$M$3:$M$619,Template!$D270)</f>
        <v>0</v>
      </c>
      <c r="X270" s="17" t="str">
        <f>IF(Template!$F270="","",SUMIF(Template!$M$3:$M$619,Template!$D270,Template!$AC$3:$AC$619))</f>
        <v/>
      </c>
      <c r="Y270" s="17" t="str">
        <f>IFERROR(VLOOKUP(Template!$M270,Template!$D$3:$G$619,MATCH("EmployeeJobTitle",Template!$D$2:$G$2,0),FALSE),"NA")</f>
        <v>GERENTE DE LOJA PL</v>
      </c>
      <c r="Z270" s="17" t="str">
        <f>IFERROR(VLOOKUP(Template!$M270,Template!$D$3:$G$619,MATCH("EmployeeGroup",Template!$D$2:$G$2,0),FALSE),"NA")</f>
        <v>GERENTE</v>
      </c>
      <c r="AA270" s="17" t="str">
        <f>IFERROR(VLOOKUP(Template!$M270,Template!$D$3:$V$619,MATCH("Layer",Template!$D$2:$V$2,0),FALSE),"NA")</f>
        <v>N3</v>
      </c>
      <c r="AB270" s="21">
        <f>VLOOKUP(Template!$M270,Template!$D$3:$F$619,MATCH("InternalGrade",Template!$D$2:$F$2,0),FALSE)-Template!$F270</f>
        <v>0</v>
      </c>
      <c r="AC270" s="17">
        <f>IF(Template!$AB270&lt;=1, 0.8,IF(Template!$AB270=2,0.4,IF(Template!$AB270=3,0.2,IF(Template!$AB270=4,0.1,IF(Template!$AB270&gt;=5,0.05,"erro")))))</f>
        <v>0.8</v>
      </c>
      <c r="AD270" s="17" t="b">
        <f>Template!$D270=Template!$M270</f>
        <v>0</v>
      </c>
      <c r="AE270" s="12" t="s">
        <v>58</v>
      </c>
    </row>
    <row r="271" ht="15.75" customHeight="1">
      <c r="A271" s="7" t="s">
        <v>190</v>
      </c>
      <c r="B271" s="7" t="s">
        <v>209</v>
      </c>
      <c r="C271" s="7" t="s">
        <v>226</v>
      </c>
      <c r="D271" s="13">
        <v>21870.0</v>
      </c>
      <c r="E271" s="7" t="s">
        <v>199</v>
      </c>
      <c r="F271" s="13"/>
      <c r="G271" s="22" t="s">
        <v>200</v>
      </c>
      <c r="H271" s="7" t="s">
        <v>64</v>
      </c>
      <c r="I271" s="7" t="s">
        <v>65</v>
      </c>
      <c r="J271" s="7" t="s">
        <v>70</v>
      </c>
      <c r="K271" s="15">
        <v>44826.0</v>
      </c>
      <c r="L271" s="15">
        <v>30123.0</v>
      </c>
      <c r="M271" s="13">
        <v>18766.0</v>
      </c>
      <c r="N271" s="7">
        <v>4812.0</v>
      </c>
      <c r="O271" s="7"/>
      <c r="P271" s="7">
        <v>13.33</v>
      </c>
      <c r="Q271" s="7"/>
      <c r="R271" s="20"/>
      <c r="S271" s="7"/>
      <c r="T271" s="20"/>
      <c r="U271" s="16">
        <f>SUM(Template!$N271:$O271)*Template!$P271+Template!$Q271</f>
        <v>64143.96</v>
      </c>
      <c r="V271" s="17" t="str">
        <f>IF(Template!$M271="CONSELHO","N",IF(Template!$AA271="N","N1",IF(Template!$AA271="N1","N2",IF(Template!$AA271="N2","N3",IF(Template!$AA271="N3","N4",IF(Template!$AA271="N4","N5",IF(Template!$AA271="N5","N6",IF(Template!$AA271="N6","N7",IF(Template!$AA271="N7","N8",IF(Template!$AA271="N8","N9",IF(Template!$AA271="N9","N10","NA")))))))))))</f>
        <v>N3</v>
      </c>
      <c r="W271" s="17">
        <f>COUNTIF(Template!$M$3:$M$619,Template!$D271)</f>
        <v>9</v>
      </c>
      <c r="X271" s="17" t="str">
        <f>IF(Template!$F271="","",SUMIF(Template!$M$3:$M$619,Template!$D271,Template!$AC$3:$AC$619))</f>
        <v/>
      </c>
      <c r="Y271" s="17" t="str">
        <f>IFERROR(VLOOKUP(Template!$M271,Template!$D$3:$G$619,MATCH("EmployeeJobTitle",Template!$D$2:$G$2,0),FALSE),"NA")</f>
        <v>GERENTE COMERCIAL</v>
      </c>
      <c r="Z271" s="17" t="str">
        <f>IFERROR(VLOOKUP(Template!$M271,Template!$D$3:$G$619,MATCH("EmployeeGroup",Template!$D$2:$G$2,0),FALSE),"NA")</f>
        <v>Coordenador</v>
      </c>
      <c r="AA271" s="17" t="str">
        <f>IFERROR(VLOOKUP(Template!$M271,Template!$D$3:$V$619,MATCH("Layer",Template!$D$2:$V$2,0),FALSE),"NA")</f>
        <v>N2</v>
      </c>
      <c r="AB271" s="21">
        <f>VLOOKUP(Template!$M271,Template!$D$3:$F$619,MATCH("InternalGrade",Template!$D$2:$F$2,0),FALSE)-Template!$F271</f>
        <v>19</v>
      </c>
      <c r="AC271" s="17">
        <f>IF(Template!$AB271&lt;=1, 0.8,IF(Template!$AB271=2,0.4,IF(Template!$AB271=3,0.2,IF(Template!$AB271=4,0.1,IF(Template!$AB271&gt;=5,0.05,"erro")))))</f>
        <v>0.05</v>
      </c>
      <c r="AD271" s="17" t="b">
        <f>Template!$D271=Template!$M271</f>
        <v>0</v>
      </c>
      <c r="AE271" s="12" t="s">
        <v>58</v>
      </c>
    </row>
    <row r="272" ht="15.75" customHeight="1">
      <c r="A272" s="7" t="s">
        <v>190</v>
      </c>
      <c r="B272" s="7" t="s">
        <v>209</v>
      </c>
      <c r="C272" s="7" t="s">
        <v>226</v>
      </c>
      <c r="D272" s="13">
        <v>25269.0</v>
      </c>
      <c r="E272" s="7" t="s">
        <v>198</v>
      </c>
      <c r="F272" s="13"/>
      <c r="G272" s="14" t="s">
        <v>63</v>
      </c>
      <c r="H272" s="7" t="s">
        <v>64</v>
      </c>
      <c r="I272" s="7" t="s">
        <v>65</v>
      </c>
      <c r="J272" s="7" t="s">
        <v>70</v>
      </c>
      <c r="K272" s="15">
        <v>45509.0</v>
      </c>
      <c r="L272" s="15">
        <v>31093.0</v>
      </c>
      <c r="M272" s="13">
        <v>21870.0</v>
      </c>
      <c r="N272" s="7">
        <v>1700.0</v>
      </c>
      <c r="O272" s="7"/>
      <c r="P272" s="7">
        <v>13.33</v>
      </c>
      <c r="Q272" s="7"/>
      <c r="R272" s="20"/>
      <c r="S272" s="7"/>
      <c r="T272" s="20"/>
      <c r="U272" s="16">
        <f>SUM(Template!$N272:$O272)*Template!$P272+Template!$Q272</f>
        <v>22661</v>
      </c>
      <c r="V272" s="17" t="str">
        <f>IF(Template!$M272="CONSELHO","N",IF(Template!$AA272="N","N1",IF(Template!$AA272="N1","N2",IF(Template!$AA272="N2","N3",IF(Template!$AA272="N3","N4",IF(Template!$AA272="N4","N5",IF(Template!$AA272="N5","N6",IF(Template!$AA272="N6","N7",IF(Template!$AA272="N7","N8",IF(Template!$AA272="N8","N9",IF(Template!$AA272="N9","N10","NA")))))))))))</f>
        <v>N4</v>
      </c>
      <c r="W272" s="17">
        <f>COUNTIF(Template!$M$3:$M$619,Template!$D272)</f>
        <v>0</v>
      </c>
      <c r="X272" s="17" t="str">
        <f>IF(Template!$F272="","",SUMIF(Template!$M$3:$M$619,Template!$D272,Template!$AC$3:$AC$619))</f>
        <v/>
      </c>
      <c r="Y272" s="17" t="str">
        <f>IFERROR(VLOOKUP(Template!$M272,Template!$D$3:$G$619,MATCH("EmployeeJobTitle",Template!$D$2:$G$2,0),FALSE),"NA")</f>
        <v>GERENTE DE LOJA</v>
      </c>
      <c r="Z272" s="17" t="str">
        <f>IFERROR(VLOOKUP(Template!$M272,Template!$D$3:$G$619,MATCH("EmployeeGroup",Template!$D$2:$G$2,0),FALSE),"NA")</f>
        <v>GERENTE</v>
      </c>
      <c r="AA272" s="17" t="str">
        <f>IFERROR(VLOOKUP(Template!$M272,Template!$D$3:$V$619,MATCH("Layer",Template!$D$2:$V$2,0),FALSE),"NA")</f>
        <v>N3</v>
      </c>
      <c r="AB272" s="21">
        <f>VLOOKUP(Template!$M272,Template!$D$3:$F$619,MATCH("InternalGrade",Template!$D$2:$F$2,0),FALSE)-Template!$F272</f>
        <v>0</v>
      </c>
      <c r="AC272" s="17">
        <f>IF(Template!$AB272&lt;=1, 0.8,IF(Template!$AB272=2,0.4,IF(Template!$AB272=3,0.2,IF(Template!$AB272=4,0.1,IF(Template!$AB272&gt;=5,0.05,"erro")))))</f>
        <v>0.8</v>
      </c>
      <c r="AD272" s="17" t="b">
        <f>Template!$D272=Template!$M272</f>
        <v>0</v>
      </c>
      <c r="AE272" s="12" t="s">
        <v>58</v>
      </c>
    </row>
    <row r="273" ht="15.75" customHeight="1">
      <c r="A273" s="7" t="s">
        <v>190</v>
      </c>
      <c r="B273" s="7" t="s">
        <v>209</v>
      </c>
      <c r="C273" s="7" t="s">
        <v>226</v>
      </c>
      <c r="D273" s="13">
        <v>16692.0</v>
      </c>
      <c r="E273" s="7" t="s">
        <v>193</v>
      </c>
      <c r="F273" s="13"/>
      <c r="G273" s="14" t="s">
        <v>63</v>
      </c>
      <c r="H273" s="7" t="s">
        <v>64</v>
      </c>
      <c r="I273" s="7" t="s">
        <v>65</v>
      </c>
      <c r="J273" s="7" t="s">
        <v>70</v>
      </c>
      <c r="K273" s="15">
        <v>43143.0</v>
      </c>
      <c r="L273" s="15">
        <v>33704.0</v>
      </c>
      <c r="M273" s="13">
        <v>21870.0</v>
      </c>
      <c r="N273" s="7"/>
      <c r="O273" s="7"/>
      <c r="P273" s="7">
        <v>13.33</v>
      </c>
      <c r="Q273" s="7"/>
      <c r="R273" s="20"/>
      <c r="S273" s="7"/>
      <c r="T273" s="20"/>
      <c r="U273" s="16">
        <f>SUM(Template!$N273:$O273)*Template!$P273+Template!$Q273</f>
        <v>0</v>
      </c>
      <c r="V273" s="17" t="str">
        <f>IF(Template!$M273="CONSELHO","N",IF(Template!$AA273="N","N1",IF(Template!$AA273="N1","N2",IF(Template!$AA273="N2","N3",IF(Template!$AA273="N3","N4",IF(Template!$AA273="N4","N5",IF(Template!$AA273="N5","N6",IF(Template!$AA273="N6","N7",IF(Template!$AA273="N7","N8",IF(Template!$AA273="N8","N9",IF(Template!$AA273="N9","N10","NA")))))))))))</f>
        <v>N4</v>
      </c>
      <c r="W273" s="17">
        <f>COUNTIF(Template!$M$3:$M$619,Template!$D273)</f>
        <v>0</v>
      </c>
      <c r="X273" s="17" t="str">
        <f>IF(Template!$F273="","",SUMIF(Template!$M$3:$M$619,Template!$D273,Template!$AC$3:$AC$619))</f>
        <v/>
      </c>
      <c r="Y273" s="17" t="str">
        <f>IFERROR(VLOOKUP(Template!$M273,Template!$D$3:$G$619,MATCH("EmployeeJobTitle",Template!$D$2:$G$2,0),FALSE),"NA")</f>
        <v>GERENTE DE LOJA</v>
      </c>
      <c r="Z273" s="17" t="str">
        <f>IFERROR(VLOOKUP(Template!$M273,Template!$D$3:$G$619,MATCH("EmployeeGroup",Template!$D$2:$G$2,0),FALSE),"NA")</f>
        <v>GERENTE</v>
      </c>
      <c r="AA273" s="17" t="str">
        <f>IFERROR(VLOOKUP(Template!$M273,Template!$D$3:$V$619,MATCH("Layer",Template!$D$2:$V$2,0),FALSE),"NA")</f>
        <v>N3</v>
      </c>
      <c r="AB273" s="21">
        <f>VLOOKUP(Template!$M273,Template!$D$3:$F$619,MATCH("InternalGrade",Template!$D$2:$F$2,0),FALSE)-Template!$F273</f>
        <v>0</v>
      </c>
      <c r="AC273" s="17">
        <f>IF(Template!$AB273&lt;=1, 0.8,IF(Template!$AB273=2,0.4,IF(Template!$AB273=3,0.2,IF(Template!$AB273=4,0.1,IF(Template!$AB273&gt;=5,0.05,"erro")))))</f>
        <v>0.8</v>
      </c>
      <c r="AD273" s="17" t="b">
        <f>Template!$D273=Template!$M273</f>
        <v>0</v>
      </c>
      <c r="AE273" s="12" t="s">
        <v>58</v>
      </c>
    </row>
    <row r="274" ht="15.75" customHeight="1">
      <c r="A274" s="7" t="s">
        <v>190</v>
      </c>
      <c r="B274" s="7" t="s">
        <v>209</v>
      </c>
      <c r="C274" s="7" t="s">
        <v>226</v>
      </c>
      <c r="D274" s="13">
        <v>25067.0</v>
      </c>
      <c r="E274" s="7" t="s">
        <v>193</v>
      </c>
      <c r="F274" s="13"/>
      <c r="G274" s="14" t="s">
        <v>63</v>
      </c>
      <c r="H274" s="7" t="s">
        <v>64</v>
      </c>
      <c r="I274" s="7" t="s">
        <v>65</v>
      </c>
      <c r="J274" s="7" t="s">
        <v>70</v>
      </c>
      <c r="K274" s="15">
        <v>45432.0</v>
      </c>
      <c r="L274" s="15">
        <v>37570.0</v>
      </c>
      <c r="M274" s="13">
        <v>21870.0</v>
      </c>
      <c r="N274" s="7"/>
      <c r="O274" s="7"/>
      <c r="P274" s="7">
        <v>13.33</v>
      </c>
      <c r="Q274" s="7"/>
      <c r="R274" s="20"/>
      <c r="S274" s="7"/>
      <c r="T274" s="20"/>
      <c r="U274" s="16">
        <f>SUM(Template!$N274:$O274)*Template!$P274+Template!$Q274</f>
        <v>0</v>
      </c>
      <c r="V274" s="17" t="str">
        <f>IF(Template!$M274="CONSELHO","N",IF(Template!$AA274="N","N1",IF(Template!$AA274="N1","N2",IF(Template!$AA274="N2","N3",IF(Template!$AA274="N3","N4",IF(Template!$AA274="N4","N5",IF(Template!$AA274="N5","N6",IF(Template!$AA274="N6","N7",IF(Template!$AA274="N7","N8",IF(Template!$AA274="N8","N9",IF(Template!$AA274="N9","N10","NA")))))))))))</f>
        <v>N4</v>
      </c>
      <c r="W274" s="17">
        <f>COUNTIF(Template!$M$3:$M$619,Template!$D274)</f>
        <v>0</v>
      </c>
      <c r="X274" s="17" t="str">
        <f>IF(Template!$F274="","",SUMIF(Template!$M$3:$M$619,Template!$D274,Template!$AC$3:$AC$619))</f>
        <v/>
      </c>
      <c r="Y274" s="17" t="str">
        <f>IFERROR(VLOOKUP(Template!$M274,Template!$D$3:$G$619,MATCH("EmployeeJobTitle",Template!$D$2:$G$2,0),FALSE),"NA")</f>
        <v>GERENTE DE LOJA</v>
      </c>
      <c r="Z274" s="17" t="str">
        <f>IFERROR(VLOOKUP(Template!$M274,Template!$D$3:$G$619,MATCH("EmployeeGroup",Template!$D$2:$G$2,0),FALSE),"NA")</f>
        <v>GERENTE</v>
      </c>
      <c r="AA274" s="17" t="str">
        <f>IFERROR(VLOOKUP(Template!$M274,Template!$D$3:$V$619,MATCH("Layer",Template!$D$2:$V$2,0),FALSE),"NA")</f>
        <v>N3</v>
      </c>
      <c r="AB274" s="21">
        <f>VLOOKUP(Template!$M274,Template!$D$3:$F$619,MATCH("InternalGrade",Template!$D$2:$F$2,0),FALSE)-Template!$F274</f>
        <v>0</v>
      </c>
      <c r="AC274" s="17">
        <f>IF(Template!$AB274&lt;=1, 0.8,IF(Template!$AB274=2,0.4,IF(Template!$AB274=3,0.2,IF(Template!$AB274=4,0.1,IF(Template!$AB274&gt;=5,0.05,"erro")))))</f>
        <v>0.8</v>
      </c>
      <c r="AD274" s="17" t="b">
        <f>Template!$D274=Template!$M274</f>
        <v>0</v>
      </c>
      <c r="AE274" s="12" t="s">
        <v>58</v>
      </c>
    </row>
    <row r="275" ht="15.75" customHeight="1">
      <c r="A275" s="7" t="s">
        <v>190</v>
      </c>
      <c r="B275" s="7" t="s">
        <v>209</v>
      </c>
      <c r="C275" s="7" t="s">
        <v>226</v>
      </c>
      <c r="D275" s="13">
        <v>10576.0</v>
      </c>
      <c r="E275" s="7" t="s">
        <v>227</v>
      </c>
      <c r="F275" s="13"/>
      <c r="G275" s="14" t="s">
        <v>63</v>
      </c>
      <c r="H275" s="7" t="s">
        <v>64</v>
      </c>
      <c r="I275" s="7" t="s">
        <v>65</v>
      </c>
      <c r="J275" s="7" t="s">
        <v>70</v>
      </c>
      <c r="K275" s="15">
        <v>40651.0</v>
      </c>
      <c r="L275" s="15">
        <v>30582.0</v>
      </c>
      <c r="M275" s="13">
        <v>21870.0</v>
      </c>
      <c r="N275" s="7"/>
      <c r="O275" s="7"/>
      <c r="P275" s="7">
        <v>13.33</v>
      </c>
      <c r="Q275" s="7"/>
      <c r="R275" s="20"/>
      <c r="S275" s="7"/>
      <c r="T275" s="20"/>
      <c r="U275" s="16">
        <f>SUM(Template!$N275:$O275)*Template!$P275+Template!$Q275</f>
        <v>0</v>
      </c>
      <c r="V275" s="17" t="str">
        <f>IF(Template!$M275="CONSELHO","N",IF(Template!$AA275="N","N1",IF(Template!$AA275="N1","N2",IF(Template!$AA275="N2","N3",IF(Template!$AA275="N3","N4",IF(Template!$AA275="N4","N5",IF(Template!$AA275="N5","N6",IF(Template!$AA275="N6","N7",IF(Template!$AA275="N7","N8",IF(Template!$AA275="N8","N9",IF(Template!$AA275="N9","N10","NA")))))))))))</f>
        <v>N4</v>
      </c>
      <c r="W275" s="17">
        <f>COUNTIF(Template!$M$3:$M$619,Template!$D275)</f>
        <v>0</v>
      </c>
      <c r="X275" s="17" t="str">
        <f>IF(Template!$F275="","",SUMIF(Template!$M$3:$M$619,Template!$D275,Template!$AC$3:$AC$619))</f>
        <v/>
      </c>
      <c r="Y275" s="17" t="str">
        <f>IFERROR(VLOOKUP(Template!$M275,Template!$D$3:$G$619,MATCH("EmployeeJobTitle",Template!$D$2:$G$2,0),FALSE),"NA")</f>
        <v>GERENTE DE LOJA</v>
      </c>
      <c r="Z275" s="17" t="str">
        <f>IFERROR(VLOOKUP(Template!$M275,Template!$D$3:$G$619,MATCH("EmployeeGroup",Template!$D$2:$G$2,0),FALSE),"NA")</f>
        <v>GERENTE</v>
      </c>
      <c r="AA275" s="17" t="str">
        <f>IFERROR(VLOOKUP(Template!$M275,Template!$D$3:$V$619,MATCH("Layer",Template!$D$2:$V$2,0),FALSE),"NA")</f>
        <v>N3</v>
      </c>
      <c r="AB275" s="21">
        <f>VLOOKUP(Template!$M275,Template!$D$3:$F$619,MATCH("InternalGrade",Template!$D$2:$F$2,0),FALSE)-Template!$F275</f>
        <v>0</v>
      </c>
      <c r="AC275" s="17">
        <f>IF(Template!$AB275&lt;=1, 0.8,IF(Template!$AB275=2,0.4,IF(Template!$AB275=3,0.2,IF(Template!$AB275=4,0.1,IF(Template!$AB275&gt;=5,0.05,"erro")))))</f>
        <v>0.8</v>
      </c>
      <c r="AD275" s="17" t="b">
        <f>Template!$D275=Template!$M275</f>
        <v>0</v>
      </c>
      <c r="AE275" s="12" t="s">
        <v>58</v>
      </c>
    </row>
    <row r="276" ht="15.75" customHeight="1">
      <c r="A276" s="7" t="s">
        <v>190</v>
      </c>
      <c r="B276" s="7" t="s">
        <v>209</v>
      </c>
      <c r="C276" s="7" t="s">
        <v>226</v>
      </c>
      <c r="D276" s="13">
        <v>20332.0</v>
      </c>
      <c r="E276" s="7" t="s">
        <v>193</v>
      </c>
      <c r="F276" s="13"/>
      <c r="G276" s="14" t="s">
        <v>63</v>
      </c>
      <c r="H276" s="7" t="s">
        <v>64</v>
      </c>
      <c r="I276" s="7" t="s">
        <v>65</v>
      </c>
      <c r="J276" s="7" t="s">
        <v>70</v>
      </c>
      <c r="K276" s="15">
        <v>44578.0</v>
      </c>
      <c r="L276" s="15">
        <v>36639.0</v>
      </c>
      <c r="M276" s="13">
        <v>21870.0</v>
      </c>
      <c r="N276" s="7"/>
      <c r="O276" s="7"/>
      <c r="P276" s="7">
        <v>13.33</v>
      </c>
      <c r="Q276" s="7"/>
      <c r="R276" s="20"/>
      <c r="S276" s="7"/>
      <c r="T276" s="20"/>
      <c r="U276" s="16">
        <f>SUM(Template!$N276:$O276)*Template!$P276+Template!$Q276</f>
        <v>0</v>
      </c>
      <c r="V276" s="17" t="str">
        <f>IF(Template!$M276="CONSELHO","N",IF(Template!$AA276="N","N1",IF(Template!$AA276="N1","N2",IF(Template!$AA276="N2","N3",IF(Template!$AA276="N3","N4",IF(Template!$AA276="N4","N5",IF(Template!$AA276="N5","N6",IF(Template!$AA276="N6","N7",IF(Template!$AA276="N7","N8",IF(Template!$AA276="N8","N9",IF(Template!$AA276="N9","N10","NA")))))))))))</f>
        <v>N4</v>
      </c>
      <c r="W276" s="17">
        <f>COUNTIF(Template!$M$3:$M$619,Template!$D276)</f>
        <v>0</v>
      </c>
      <c r="X276" s="17" t="str">
        <f>IF(Template!$F276="","",SUMIF(Template!$M$3:$M$619,Template!$D276,Template!$AC$3:$AC$619))</f>
        <v/>
      </c>
      <c r="Y276" s="17" t="str">
        <f>IFERROR(VLOOKUP(Template!$M276,Template!$D$3:$G$619,MATCH("EmployeeJobTitle",Template!$D$2:$G$2,0),FALSE),"NA")</f>
        <v>GERENTE DE LOJA</v>
      </c>
      <c r="Z276" s="17" t="str">
        <f>IFERROR(VLOOKUP(Template!$M276,Template!$D$3:$G$619,MATCH("EmployeeGroup",Template!$D$2:$G$2,0),FALSE),"NA")</f>
        <v>GERENTE</v>
      </c>
      <c r="AA276" s="17" t="str">
        <f>IFERROR(VLOOKUP(Template!$M276,Template!$D$3:$V$619,MATCH("Layer",Template!$D$2:$V$2,0),FALSE),"NA")</f>
        <v>N3</v>
      </c>
      <c r="AB276" s="21">
        <f>VLOOKUP(Template!$M276,Template!$D$3:$F$619,MATCH("InternalGrade",Template!$D$2:$F$2,0),FALSE)-Template!$F276</f>
        <v>0</v>
      </c>
      <c r="AC276" s="17">
        <f>IF(Template!$AB276&lt;=1, 0.8,IF(Template!$AB276=2,0.4,IF(Template!$AB276=3,0.2,IF(Template!$AB276=4,0.1,IF(Template!$AB276&gt;=5,0.05,"erro")))))</f>
        <v>0.8</v>
      </c>
      <c r="AD276" s="17" t="b">
        <f>Template!$D276=Template!$M276</f>
        <v>0</v>
      </c>
      <c r="AE276" s="12" t="s">
        <v>58</v>
      </c>
    </row>
    <row r="277" ht="15.75" customHeight="1">
      <c r="A277" s="7" t="s">
        <v>190</v>
      </c>
      <c r="B277" s="7" t="s">
        <v>209</v>
      </c>
      <c r="C277" s="7" t="s">
        <v>226</v>
      </c>
      <c r="D277" s="13">
        <v>25117.0</v>
      </c>
      <c r="E277" s="7" t="s">
        <v>193</v>
      </c>
      <c r="F277" s="13"/>
      <c r="G277" s="14" t="s">
        <v>63</v>
      </c>
      <c r="H277" s="7" t="s">
        <v>64</v>
      </c>
      <c r="I277" s="7" t="s">
        <v>65</v>
      </c>
      <c r="J277" s="7" t="s">
        <v>70</v>
      </c>
      <c r="K277" s="15">
        <v>45453.0</v>
      </c>
      <c r="L277" s="15">
        <v>35408.0</v>
      </c>
      <c r="M277" s="13">
        <v>21870.0</v>
      </c>
      <c r="N277" s="7"/>
      <c r="O277" s="7"/>
      <c r="P277" s="7">
        <v>13.33</v>
      </c>
      <c r="Q277" s="7"/>
      <c r="R277" s="20"/>
      <c r="S277" s="7"/>
      <c r="T277" s="20"/>
      <c r="U277" s="16">
        <f>SUM(Template!$N277:$O277)*Template!$P277+Template!$Q277</f>
        <v>0</v>
      </c>
      <c r="V277" s="17" t="str">
        <f>IF(Template!$M277="CONSELHO","N",IF(Template!$AA277="N","N1",IF(Template!$AA277="N1","N2",IF(Template!$AA277="N2","N3",IF(Template!$AA277="N3","N4",IF(Template!$AA277="N4","N5",IF(Template!$AA277="N5","N6",IF(Template!$AA277="N6","N7",IF(Template!$AA277="N7","N8",IF(Template!$AA277="N8","N9",IF(Template!$AA277="N9","N10","NA")))))))))))</f>
        <v>N4</v>
      </c>
      <c r="W277" s="17">
        <f>COUNTIF(Template!$M$3:$M$619,Template!$D277)</f>
        <v>0</v>
      </c>
      <c r="X277" s="17" t="str">
        <f>IF(Template!$F277="","",SUMIF(Template!$M$3:$M$619,Template!$D277,Template!$AC$3:$AC$619))</f>
        <v/>
      </c>
      <c r="Y277" s="17" t="str">
        <f>IFERROR(VLOOKUP(Template!$M277,Template!$D$3:$G$619,MATCH("EmployeeJobTitle",Template!$D$2:$G$2,0),FALSE),"NA")</f>
        <v>GERENTE DE LOJA</v>
      </c>
      <c r="Z277" s="17" t="str">
        <f>IFERROR(VLOOKUP(Template!$M277,Template!$D$3:$G$619,MATCH("EmployeeGroup",Template!$D$2:$G$2,0),FALSE),"NA")</f>
        <v>GERENTE</v>
      </c>
      <c r="AA277" s="17" t="str">
        <f>IFERROR(VLOOKUP(Template!$M277,Template!$D$3:$V$619,MATCH("Layer",Template!$D$2:$V$2,0),FALSE),"NA")</f>
        <v>N3</v>
      </c>
      <c r="AB277" s="21">
        <f>VLOOKUP(Template!$M277,Template!$D$3:$F$619,MATCH("InternalGrade",Template!$D$2:$F$2,0),FALSE)-Template!$F277</f>
        <v>0</v>
      </c>
      <c r="AC277" s="17">
        <f>IF(Template!$AB277&lt;=1, 0.8,IF(Template!$AB277=2,0.4,IF(Template!$AB277=3,0.2,IF(Template!$AB277=4,0.1,IF(Template!$AB277&gt;=5,0.05,"erro")))))</f>
        <v>0.8</v>
      </c>
      <c r="AD277" s="17" t="b">
        <f>Template!$D277=Template!$M277</f>
        <v>0</v>
      </c>
      <c r="AE277" s="12" t="s">
        <v>58</v>
      </c>
    </row>
    <row r="278" ht="15.75" customHeight="1">
      <c r="A278" s="7" t="s">
        <v>190</v>
      </c>
      <c r="B278" s="7" t="s">
        <v>209</v>
      </c>
      <c r="C278" s="7" t="s">
        <v>226</v>
      </c>
      <c r="D278" s="13">
        <v>24845.0</v>
      </c>
      <c r="E278" s="7" t="s">
        <v>196</v>
      </c>
      <c r="F278" s="13"/>
      <c r="G278" s="14" t="s">
        <v>63</v>
      </c>
      <c r="H278" s="7" t="s">
        <v>64</v>
      </c>
      <c r="I278" s="7" t="s">
        <v>65</v>
      </c>
      <c r="J278" s="7" t="s">
        <v>70</v>
      </c>
      <c r="K278" s="15">
        <v>45323.0</v>
      </c>
      <c r="L278" s="15">
        <v>35161.0</v>
      </c>
      <c r="M278" s="13">
        <v>21870.0</v>
      </c>
      <c r="N278" s="7">
        <v>1893.0</v>
      </c>
      <c r="O278" s="7"/>
      <c r="P278" s="7">
        <v>13.33</v>
      </c>
      <c r="Q278" s="7"/>
      <c r="R278" s="20"/>
      <c r="S278" s="7"/>
      <c r="T278" s="20"/>
      <c r="U278" s="16">
        <f>SUM(Template!$N278:$O278)*Template!$P278+Template!$Q278</f>
        <v>25233.69</v>
      </c>
      <c r="V278" s="17" t="str">
        <f>IF(Template!$M278="CONSELHO","N",IF(Template!$AA278="N","N1",IF(Template!$AA278="N1","N2",IF(Template!$AA278="N2","N3",IF(Template!$AA278="N3","N4",IF(Template!$AA278="N4","N5",IF(Template!$AA278="N5","N6",IF(Template!$AA278="N6","N7",IF(Template!$AA278="N7","N8",IF(Template!$AA278="N8","N9",IF(Template!$AA278="N9","N10","NA")))))))))))</f>
        <v>N4</v>
      </c>
      <c r="W278" s="17">
        <f>COUNTIF(Template!$M$3:$M$619,Template!$D278)</f>
        <v>0</v>
      </c>
      <c r="X278" s="17" t="str">
        <f>IF(Template!$F278="","",SUMIF(Template!$M$3:$M$619,Template!$D278,Template!$AC$3:$AC$619))</f>
        <v/>
      </c>
      <c r="Y278" s="17" t="str">
        <f>IFERROR(VLOOKUP(Template!$M278,Template!$D$3:$G$619,MATCH("EmployeeJobTitle",Template!$D$2:$G$2,0),FALSE),"NA")</f>
        <v>GERENTE DE LOJA</v>
      </c>
      <c r="Z278" s="17" t="str">
        <f>IFERROR(VLOOKUP(Template!$M278,Template!$D$3:$G$619,MATCH("EmployeeGroup",Template!$D$2:$G$2,0),FALSE),"NA")</f>
        <v>GERENTE</v>
      </c>
      <c r="AA278" s="17" t="str">
        <f>IFERROR(VLOOKUP(Template!$M278,Template!$D$3:$V$619,MATCH("Layer",Template!$D$2:$V$2,0),FALSE),"NA")</f>
        <v>N3</v>
      </c>
      <c r="AB278" s="21">
        <f>VLOOKUP(Template!$M278,Template!$D$3:$F$619,MATCH("InternalGrade",Template!$D$2:$F$2,0),FALSE)-Template!$F278</f>
        <v>0</v>
      </c>
      <c r="AC278" s="17">
        <f>IF(Template!$AB278&lt;=1, 0.8,IF(Template!$AB278=2,0.4,IF(Template!$AB278=3,0.2,IF(Template!$AB278=4,0.1,IF(Template!$AB278&gt;=5,0.05,"erro")))))</f>
        <v>0.8</v>
      </c>
      <c r="AD278" s="17" t="b">
        <f>Template!$D278=Template!$M278</f>
        <v>0</v>
      </c>
      <c r="AE278" s="12" t="s">
        <v>58</v>
      </c>
    </row>
    <row r="279" ht="15.75" customHeight="1">
      <c r="A279" s="7" t="s">
        <v>190</v>
      </c>
      <c r="B279" s="7" t="s">
        <v>209</v>
      </c>
      <c r="C279" s="7" t="s">
        <v>226</v>
      </c>
      <c r="D279" s="13">
        <v>25326.0</v>
      </c>
      <c r="E279" s="7" t="s">
        <v>193</v>
      </c>
      <c r="F279" s="13"/>
      <c r="G279" s="14" t="s">
        <v>63</v>
      </c>
      <c r="H279" s="7" t="s">
        <v>64</v>
      </c>
      <c r="I279" s="7" t="s">
        <v>65</v>
      </c>
      <c r="J279" s="7" t="s">
        <v>70</v>
      </c>
      <c r="K279" s="15">
        <v>45526.0</v>
      </c>
      <c r="L279" s="15">
        <v>33761.0</v>
      </c>
      <c r="M279" s="13">
        <v>21870.0</v>
      </c>
      <c r="N279" s="7"/>
      <c r="O279" s="7"/>
      <c r="P279" s="7">
        <v>13.33</v>
      </c>
      <c r="Q279" s="7"/>
      <c r="R279" s="20"/>
      <c r="S279" s="7"/>
      <c r="T279" s="20"/>
      <c r="U279" s="16">
        <f>SUM(Template!$N279:$O279)*Template!$P279+Template!$Q279</f>
        <v>0</v>
      </c>
      <c r="V279" s="17" t="str">
        <f>IF(Template!$M279="CONSELHO","N",IF(Template!$AA279="N","N1",IF(Template!$AA279="N1","N2",IF(Template!$AA279="N2","N3",IF(Template!$AA279="N3","N4",IF(Template!$AA279="N4","N5",IF(Template!$AA279="N5","N6",IF(Template!$AA279="N6","N7",IF(Template!$AA279="N7","N8",IF(Template!$AA279="N8","N9",IF(Template!$AA279="N9","N10","NA")))))))))))</f>
        <v>N4</v>
      </c>
      <c r="W279" s="17">
        <f>COUNTIF(Template!$M$3:$M$619,Template!$D279)</f>
        <v>0</v>
      </c>
      <c r="X279" s="17" t="str">
        <f>IF(Template!$F279="","",SUMIF(Template!$M$3:$M$619,Template!$D279,Template!$AC$3:$AC$619))</f>
        <v/>
      </c>
      <c r="Y279" s="17" t="str">
        <f>IFERROR(VLOOKUP(Template!$M279,Template!$D$3:$G$619,MATCH("EmployeeJobTitle",Template!$D$2:$G$2,0),FALSE),"NA")</f>
        <v>GERENTE DE LOJA</v>
      </c>
      <c r="Z279" s="17" t="str">
        <f>IFERROR(VLOOKUP(Template!$M279,Template!$D$3:$G$619,MATCH("EmployeeGroup",Template!$D$2:$G$2,0),FALSE),"NA")</f>
        <v>GERENTE</v>
      </c>
      <c r="AA279" s="17" t="str">
        <f>IFERROR(VLOOKUP(Template!$M279,Template!$D$3:$V$619,MATCH("Layer",Template!$D$2:$V$2,0),FALSE),"NA")</f>
        <v>N3</v>
      </c>
      <c r="AB279" s="21">
        <f>VLOOKUP(Template!$M279,Template!$D$3:$F$619,MATCH("InternalGrade",Template!$D$2:$F$2,0),FALSE)-Template!$F279</f>
        <v>0</v>
      </c>
      <c r="AC279" s="17">
        <f>IF(Template!$AB279&lt;=1, 0.8,IF(Template!$AB279=2,0.4,IF(Template!$AB279=3,0.2,IF(Template!$AB279=4,0.1,IF(Template!$AB279&gt;=5,0.05,"erro")))))</f>
        <v>0.8</v>
      </c>
      <c r="AD279" s="17" t="b">
        <f>Template!$D279=Template!$M279</f>
        <v>0</v>
      </c>
      <c r="AE279" s="12" t="s">
        <v>58</v>
      </c>
    </row>
    <row r="280" ht="15.75" customHeight="1">
      <c r="A280" s="7" t="s">
        <v>190</v>
      </c>
      <c r="B280" s="7" t="s">
        <v>209</v>
      </c>
      <c r="C280" s="7" t="s">
        <v>226</v>
      </c>
      <c r="D280" s="13">
        <v>25360.0</v>
      </c>
      <c r="E280" s="7" t="s">
        <v>196</v>
      </c>
      <c r="F280" s="13"/>
      <c r="G280" s="14" t="s">
        <v>63</v>
      </c>
      <c r="H280" s="7" t="s">
        <v>64</v>
      </c>
      <c r="I280" s="7" t="s">
        <v>65</v>
      </c>
      <c r="J280" s="7" t="s">
        <v>70</v>
      </c>
      <c r="K280" s="15">
        <v>45544.0</v>
      </c>
      <c r="L280" s="15">
        <v>37853.0</v>
      </c>
      <c r="M280" s="13">
        <v>21870.0</v>
      </c>
      <c r="N280" s="7">
        <v>1893.0</v>
      </c>
      <c r="O280" s="7"/>
      <c r="P280" s="7">
        <v>13.33</v>
      </c>
      <c r="Q280" s="7"/>
      <c r="R280" s="20"/>
      <c r="S280" s="7"/>
      <c r="T280" s="20"/>
      <c r="U280" s="16">
        <f>SUM(Template!$N280:$O280)*Template!$P280+Template!$Q280</f>
        <v>25233.69</v>
      </c>
      <c r="V280" s="17" t="str">
        <f>IF(Template!$M280="CONSELHO","N",IF(Template!$AA280="N","N1",IF(Template!$AA280="N1","N2",IF(Template!$AA280="N2","N3",IF(Template!$AA280="N3","N4",IF(Template!$AA280="N4","N5",IF(Template!$AA280="N5","N6",IF(Template!$AA280="N6","N7",IF(Template!$AA280="N7","N8",IF(Template!$AA280="N8","N9",IF(Template!$AA280="N9","N10","NA")))))))))))</f>
        <v>N4</v>
      </c>
      <c r="W280" s="17">
        <f>COUNTIF(Template!$M$3:$M$619,Template!$D280)</f>
        <v>0</v>
      </c>
      <c r="X280" s="17" t="str">
        <f>IF(Template!$F280="","",SUMIF(Template!$M$3:$M$619,Template!$D280,Template!$AC$3:$AC$619))</f>
        <v/>
      </c>
      <c r="Y280" s="17" t="str">
        <f>IFERROR(VLOOKUP(Template!$M280,Template!$D$3:$G$619,MATCH("EmployeeJobTitle",Template!$D$2:$G$2,0),FALSE),"NA")</f>
        <v>GERENTE DE LOJA</v>
      </c>
      <c r="Z280" s="17" t="str">
        <f>IFERROR(VLOOKUP(Template!$M280,Template!$D$3:$G$619,MATCH("EmployeeGroup",Template!$D$2:$G$2,0),FALSE),"NA")</f>
        <v>GERENTE</v>
      </c>
      <c r="AA280" s="17" t="str">
        <f>IFERROR(VLOOKUP(Template!$M280,Template!$D$3:$V$619,MATCH("Layer",Template!$D$2:$V$2,0),FALSE),"NA")</f>
        <v>N3</v>
      </c>
      <c r="AB280" s="21">
        <f>VLOOKUP(Template!$M280,Template!$D$3:$F$619,MATCH("InternalGrade",Template!$D$2:$F$2,0),FALSE)-Template!$F280</f>
        <v>0</v>
      </c>
      <c r="AC280" s="17">
        <f>IF(Template!$AB280&lt;=1, 0.8,IF(Template!$AB280=2,0.4,IF(Template!$AB280=3,0.2,IF(Template!$AB280=4,0.1,IF(Template!$AB280&gt;=5,0.05,"erro")))))</f>
        <v>0.8</v>
      </c>
      <c r="AD280" s="17" t="b">
        <f>Template!$D280=Template!$M280</f>
        <v>0</v>
      </c>
      <c r="AE280" s="12" t="s">
        <v>58</v>
      </c>
    </row>
    <row r="281" ht="15.75" customHeight="1">
      <c r="A281" s="7" t="s">
        <v>190</v>
      </c>
      <c r="B281" s="7" t="s">
        <v>209</v>
      </c>
      <c r="C281" s="7" t="s">
        <v>212</v>
      </c>
      <c r="D281" s="13">
        <v>19610.0</v>
      </c>
      <c r="E281" s="7" t="s">
        <v>193</v>
      </c>
      <c r="F281" s="13"/>
      <c r="G281" s="14" t="s">
        <v>63</v>
      </c>
      <c r="H281" s="7" t="s">
        <v>64</v>
      </c>
      <c r="I281" s="7" t="s">
        <v>65</v>
      </c>
      <c r="J281" s="7" t="s">
        <v>70</v>
      </c>
      <c r="K281" s="15">
        <v>44354.0</v>
      </c>
      <c r="L281" s="15">
        <v>34743.0</v>
      </c>
      <c r="M281" s="13">
        <v>13813.0</v>
      </c>
      <c r="N281" s="7"/>
      <c r="O281" s="7"/>
      <c r="P281" s="7">
        <v>13.33</v>
      </c>
      <c r="Q281" s="7"/>
      <c r="R281" s="20"/>
      <c r="S281" s="7"/>
      <c r="T281" s="20"/>
      <c r="U281" s="16">
        <f>SUM(Template!$N281:$O281)*Template!$P281+Template!$Q281</f>
        <v>0</v>
      </c>
      <c r="V281" s="17" t="str">
        <f>IF(Template!$M281="CONSELHO","N",IF(Template!$AA281="N","N1",IF(Template!$AA281="N1","N2",IF(Template!$AA281="N2","N3",IF(Template!$AA281="N3","N4",IF(Template!$AA281="N4","N5",IF(Template!$AA281="N5","N6",IF(Template!$AA281="N6","N7",IF(Template!$AA281="N7","N8",IF(Template!$AA281="N8","N9",IF(Template!$AA281="N9","N10","NA")))))))))))</f>
        <v>N4</v>
      </c>
      <c r="W281" s="17">
        <f>COUNTIF(Template!$M$3:$M$619,Template!$D281)</f>
        <v>0</v>
      </c>
      <c r="X281" s="17" t="str">
        <f>IF(Template!$F281="","",SUMIF(Template!$M$3:$M$619,Template!$D281,Template!$AC$3:$AC$619))</f>
        <v/>
      </c>
      <c r="Y281" s="17" t="str">
        <f>IFERROR(VLOOKUP(Template!$M281,Template!$D$3:$G$619,MATCH("EmployeeJobTitle",Template!$D$2:$G$2,0),FALSE),"NA")</f>
        <v>GERENTE DE LOJA</v>
      </c>
      <c r="Z281" s="17" t="str">
        <f>IFERROR(VLOOKUP(Template!$M281,Template!$D$3:$G$619,MATCH("EmployeeGroup",Template!$D$2:$G$2,0),FALSE),"NA")</f>
        <v>GERENTE</v>
      </c>
      <c r="AA281" s="17" t="str">
        <f>IFERROR(VLOOKUP(Template!$M281,Template!$D$3:$V$619,MATCH("Layer",Template!$D$2:$V$2,0),FALSE),"NA")</f>
        <v>N3</v>
      </c>
      <c r="AB281" s="21">
        <f>VLOOKUP(Template!$M281,Template!$D$3:$F$619,MATCH("InternalGrade",Template!$D$2:$F$2,0),FALSE)-Template!$F281</f>
        <v>0</v>
      </c>
      <c r="AC281" s="17">
        <f>IF(Template!$AB281&lt;=1, 0.8,IF(Template!$AB281=2,0.4,IF(Template!$AB281=3,0.2,IF(Template!$AB281=4,0.1,IF(Template!$AB281&gt;=5,0.05,"erro")))))</f>
        <v>0.8</v>
      </c>
      <c r="AD281" s="17" t="b">
        <f>Template!$D281=Template!$M281</f>
        <v>0</v>
      </c>
      <c r="AE281" s="12" t="s">
        <v>58</v>
      </c>
    </row>
    <row r="282" ht="15.75" customHeight="1">
      <c r="A282" s="7" t="s">
        <v>190</v>
      </c>
      <c r="B282" s="7" t="s">
        <v>209</v>
      </c>
      <c r="C282" s="7" t="s">
        <v>212</v>
      </c>
      <c r="D282" s="13">
        <v>18706.0</v>
      </c>
      <c r="E282" s="7" t="s">
        <v>193</v>
      </c>
      <c r="F282" s="13"/>
      <c r="G282" s="14" t="s">
        <v>63</v>
      </c>
      <c r="H282" s="7" t="s">
        <v>64</v>
      </c>
      <c r="I282" s="7" t="s">
        <v>65</v>
      </c>
      <c r="J282" s="7" t="s">
        <v>70</v>
      </c>
      <c r="K282" s="15">
        <v>44076.0</v>
      </c>
      <c r="L282" s="15">
        <v>34356.0</v>
      </c>
      <c r="M282" s="13">
        <v>13813.0</v>
      </c>
      <c r="N282" s="7"/>
      <c r="O282" s="7"/>
      <c r="P282" s="7">
        <v>13.33</v>
      </c>
      <c r="Q282" s="7"/>
      <c r="R282" s="20"/>
      <c r="S282" s="7"/>
      <c r="T282" s="20"/>
      <c r="U282" s="16">
        <f>SUM(Template!$N282:$O282)*Template!$P282+Template!$Q282</f>
        <v>0</v>
      </c>
      <c r="V282" s="17" t="str">
        <f>IF(Template!$M282="CONSELHO","N",IF(Template!$AA282="N","N1",IF(Template!$AA282="N1","N2",IF(Template!$AA282="N2","N3",IF(Template!$AA282="N3","N4",IF(Template!$AA282="N4","N5",IF(Template!$AA282="N5","N6",IF(Template!$AA282="N6","N7",IF(Template!$AA282="N7","N8",IF(Template!$AA282="N8","N9",IF(Template!$AA282="N9","N10","NA")))))))))))</f>
        <v>N4</v>
      </c>
      <c r="W282" s="17">
        <f>COUNTIF(Template!$M$3:$M$619,Template!$D282)</f>
        <v>0</v>
      </c>
      <c r="X282" s="17" t="str">
        <f>IF(Template!$F282="","",SUMIF(Template!$M$3:$M$619,Template!$D282,Template!$AC$3:$AC$619))</f>
        <v/>
      </c>
      <c r="Y282" s="17" t="str">
        <f>IFERROR(VLOOKUP(Template!$M282,Template!$D$3:$G$619,MATCH("EmployeeJobTitle",Template!$D$2:$G$2,0),FALSE),"NA")</f>
        <v>GERENTE DE LOJA</v>
      </c>
      <c r="Z282" s="17" t="str">
        <f>IFERROR(VLOOKUP(Template!$M282,Template!$D$3:$G$619,MATCH("EmployeeGroup",Template!$D$2:$G$2,0),FALSE),"NA")</f>
        <v>GERENTE</v>
      </c>
      <c r="AA282" s="17" t="str">
        <f>IFERROR(VLOOKUP(Template!$M282,Template!$D$3:$V$619,MATCH("Layer",Template!$D$2:$V$2,0),FALSE),"NA")</f>
        <v>N3</v>
      </c>
      <c r="AB282" s="21">
        <f>VLOOKUP(Template!$M282,Template!$D$3:$F$619,MATCH("InternalGrade",Template!$D$2:$F$2,0),FALSE)-Template!$F282</f>
        <v>0</v>
      </c>
      <c r="AC282" s="17">
        <f>IF(Template!$AB282&lt;=1, 0.8,IF(Template!$AB282=2,0.4,IF(Template!$AB282=3,0.2,IF(Template!$AB282=4,0.1,IF(Template!$AB282&gt;=5,0.05,"erro")))))</f>
        <v>0.8</v>
      </c>
      <c r="AD282" s="17" t="b">
        <f>Template!$D282=Template!$M282</f>
        <v>0</v>
      </c>
      <c r="AE282" s="12" t="s">
        <v>58</v>
      </c>
    </row>
    <row r="283" ht="15.75" customHeight="1">
      <c r="A283" s="7" t="s">
        <v>190</v>
      </c>
      <c r="B283" s="7" t="s">
        <v>209</v>
      </c>
      <c r="C283" s="7" t="s">
        <v>212</v>
      </c>
      <c r="D283" s="13">
        <v>25355.0</v>
      </c>
      <c r="E283" s="7" t="s">
        <v>196</v>
      </c>
      <c r="F283" s="13"/>
      <c r="G283" s="14" t="s">
        <v>63</v>
      </c>
      <c r="H283" s="7" t="s">
        <v>64</v>
      </c>
      <c r="I283" s="7" t="s">
        <v>65</v>
      </c>
      <c r="J283" s="7" t="s">
        <v>70</v>
      </c>
      <c r="K283" s="15">
        <v>45544.0</v>
      </c>
      <c r="L283" s="15">
        <v>37041.0</v>
      </c>
      <c r="M283" s="13">
        <v>13813.0</v>
      </c>
      <c r="N283" s="7">
        <v>1893.0</v>
      </c>
      <c r="O283" s="7"/>
      <c r="P283" s="7">
        <v>13.33</v>
      </c>
      <c r="Q283" s="7"/>
      <c r="R283" s="20"/>
      <c r="S283" s="7"/>
      <c r="T283" s="20"/>
      <c r="U283" s="16">
        <f>SUM(Template!$N283:$O283)*Template!$P283+Template!$Q283</f>
        <v>25233.69</v>
      </c>
      <c r="V283" s="17" t="str">
        <f>IF(Template!$M283="CONSELHO","N",IF(Template!$AA283="N","N1",IF(Template!$AA283="N1","N2",IF(Template!$AA283="N2","N3",IF(Template!$AA283="N3","N4",IF(Template!$AA283="N4","N5",IF(Template!$AA283="N5","N6",IF(Template!$AA283="N6","N7",IF(Template!$AA283="N7","N8",IF(Template!$AA283="N8","N9",IF(Template!$AA283="N9","N10","NA")))))))))))</f>
        <v>N4</v>
      </c>
      <c r="W283" s="17">
        <f>COUNTIF(Template!$M$3:$M$619,Template!$D283)</f>
        <v>0</v>
      </c>
      <c r="X283" s="17" t="str">
        <f>IF(Template!$F283="","",SUMIF(Template!$M$3:$M$619,Template!$D283,Template!$AC$3:$AC$619))</f>
        <v/>
      </c>
      <c r="Y283" s="17" t="str">
        <f>IFERROR(VLOOKUP(Template!$M283,Template!$D$3:$G$619,MATCH("EmployeeJobTitle",Template!$D$2:$G$2,0),FALSE),"NA")</f>
        <v>GERENTE DE LOJA</v>
      </c>
      <c r="Z283" s="17" t="str">
        <f>IFERROR(VLOOKUP(Template!$M283,Template!$D$3:$G$619,MATCH("EmployeeGroup",Template!$D$2:$G$2,0),FALSE),"NA")</f>
        <v>GERENTE</v>
      </c>
      <c r="AA283" s="17" t="str">
        <f>IFERROR(VLOOKUP(Template!$M283,Template!$D$3:$V$619,MATCH("Layer",Template!$D$2:$V$2,0),FALSE),"NA")</f>
        <v>N3</v>
      </c>
      <c r="AB283" s="21">
        <f>VLOOKUP(Template!$M283,Template!$D$3:$F$619,MATCH("InternalGrade",Template!$D$2:$F$2,0),FALSE)-Template!$F283</f>
        <v>0</v>
      </c>
      <c r="AC283" s="17">
        <f>IF(Template!$AB283&lt;=1, 0.8,IF(Template!$AB283=2,0.4,IF(Template!$AB283=3,0.2,IF(Template!$AB283=4,0.1,IF(Template!$AB283&gt;=5,0.05,"erro")))))</f>
        <v>0.8</v>
      </c>
      <c r="AD283" s="17" t="b">
        <f>Template!$D283=Template!$M283</f>
        <v>0</v>
      </c>
      <c r="AE283" s="12" t="s">
        <v>58</v>
      </c>
    </row>
    <row r="284" ht="15.75" customHeight="1">
      <c r="A284" s="7" t="s">
        <v>190</v>
      </c>
      <c r="B284" s="7" t="s">
        <v>209</v>
      </c>
      <c r="C284" s="7" t="s">
        <v>212</v>
      </c>
      <c r="D284" s="13">
        <v>24435.0</v>
      </c>
      <c r="E284" s="7" t="s">
        <v>193</v>
      </c>
      <c r="F284" s="13"/>
      <c r="G284" s="14" t="s">
        <v>63</v>
      </c>
      <c r="H284" s="7" t="s">
        <v>64</v>
      </c>
      <c r="I284" s="7" t="s">
        <v>65</v>
      </c>
      <c r="J284" s="7" t="s">
        <v>70</v>
      </c>
      <c r="K284" s="15">
        <v>45236.0</v>
      </c>
      <c r="L284" s="15">
        <v>35090.0</v>
      </c>
      <c r="M284" s="13">
        <v>13813.0</v>
      </c>
      <c r="N284" s="7"/>
      <c r="O284" s="7"/>
      <c r="P284" s="7">
        <v>13.33</v>
      </c>
      <c r="Q284" s="7"/>
      <c r="R284" s="20"/>
      <c r="S284" s="7"/>
      <c r="T284" s="20"/>
      <c r="U284" s="16">
        <f>SUM(Template!$N284:$O284)*Template!$P284+Template!$Q284</f>
        <v>0</v>
      </c>
      <c r="V284" s="17" t="str">
        <f>IF(Template!$M284="CONSELHO","N",IF(Template!$AA284="N","N1",IF(Template!$AA284="N1","N2",IF(Template!$AA284="N2","N3",IF(Template!$AA284="N3","N4",IF(Template!$AA284="N4","N5",IF(Template!$AA284="N5","N6",IF(Template!$AA284="N6","N7",IF(Template!$AA284="N7","N8",IF(Template!$AA284="N8","N9",IF(Template!$AA284="N9","N10","NA")))))))))))</f>
        <v>N4</v>
      </c>
      <c r="W284" s="17">
        <f>COUNTIF(Template!$M$3:$M$619,Template!$D284)</f>
        <v>0</v>
      </c>
      <c r="X284" s="17" t="str">
        <f>IF(Template!$F284="","",SUMIF(Template!$M$3:$M$619,Template!$D284,Template!$AC$3:$AC$619))</f>
        <v/>
      </c>
      <c r="Y284" s="17" t="str">
        <f>IFERROR(VLOOKUP(Template!$M284,Template!$D$3:$G$619,MATCH("EmployeeJobTitle",Template!$D$2:$G$2,0),FALSE),"NA")</f>
        <v>GERENTE DE LOJA</v>
      </c>
      <c r="Z284" s="17" t="str">
        <f>IFERROR(VLOOKUP(Template!$M284,Template!$D$3:$G$619,MATCH("EmployeeGroup",Template!$D$2:$G$2,0),FALSE),"NA")</f>
        <v>GERENTE</v>
      </c>
      <c r="AA284" s="17" t="str">
        <f>IFERROR(VLOOKUP(Template!$M284,Template!$D$3:$V$619,MATCH("Layer",Template!$D$2:$V$2,0),FALSE),"NA")</f>
        <v>N3</v>
      </c>
      <c r="AB284" s="21">
        <f>VLOOKUP(Template!$M284,Template!$D$3:$F$619,MATCH("InternalGrade",Template!$D$2:$F$2,0),FALSE)-Template!$F284</f>
        <v>0</v>
      </c>
      <c r="AC284" s="17">
        <f>IF(Template!$AB284&lt;=1, 0.8,IF(Template!$AB284=2,0.4,IF(Template!$AB284=3,0.2,IF(Template!$AB284=4,0.1,IF(Template!$AB284&gt;=5,0.05,"erro")))))</f>
        <v>0.8</v>
      </c>
      <c r="AD284" s="17" t="b">
        <f>Template!$D284=Template!$M284</f>
        <v>0</v>
      </c>
      <c r="AE284" s="12" t="s">
        <v>58</v>
      </c>
    </row>
    <row r="285" ht="15.75" customHeight="1">
      <c r="A285" s="7" t="s">
        <v>190</v>
      </c>
      <c r="B285" s="7" t="s">
        <v>209</v>
      </c>
      <c r="C285" s="7" t="s">
        <v>212</v>
      </c>
      <c r="D285" s="13">
        <v>13813.0</v>
      </c>
      <c r="E285" s="7" t="s">
        <v>199</v>
      </c>
      <c r="F285" s="13"/>
      <c r="G285" s="22" t="s">
        <v>200</v>
      </c>
      <c r="H285" s="7" t="s">
        <v>64</v>
      </c>
      <c r="I285" s="7" t="s">
        <v>65</v>
      </c>
      <c r="J285" s="7" t="s">
        <v>70</v>
      </c>
      <c r="K285" s="15">
        <v>41953.0</v>
      </c>
      <c r="L285" s="15">
        <v>30481.0</v>
      </c>
      <c r="M285" s="13">
        <v>18766.0</v>
      </c>
      <c r="N285" s="7">
        <v>4555.0</v>
      </c>
      <c r="O285" s="7"/>
      <c r="P285" s="7">
        <v>13.33</v>
      </c>
      <c r="Q285" s="7"/>
      <c r="R285" s="20"/>
      <c r="S285" s="7"/>
      <c r="T285" s="20"/>
      <c r="U285" s="16">
        <f>SUM(Template!$N285:$O285)*Template!$P285+Template!$Q285</f>
        <v>60718.15</v>
      </c>
      <c r="V285" s="17" t="str">
        <f>IF(Template!$M285="CONSELHO","N",IF(Template!$AA285="N","N1",IF(Template!$AA285="N1","N2",IF(Template!$AA285="N2","N3",IF(Template!$AA285="N3","N4",IF(Template!$AA285="N4","N5",IF(Template!$AA285="N5","N6",IF(Template!$AA285="N6","N7",IF(Template!$AA285="N7","N8",IF(Template!$AA285="N8","N9",IF(Template!$AA285="N9","N10","NA")))))))))))</f>
        <v>N3</v>
      </c>
      <c r="W285" s="17">
        <f>COUNTIF(Template!$M$3:$M$619,Template!$D285)</f>
        <v>8</v>
      </c>
      <c r="X285" s="17" t="str">
        <f>IF(Template!$F285="","",SUMIF(Template!$M$3:$M$619,Template!$D285,Template!$AC$3:$AC$619))</f>
        <v/>
      </c>
      <c r="Y285" s="17" t="str">
        <f>IFERROR(VLOOKUP(Template!$M285,Template!$D$3:$G$619,MATCH("EmployeeJobTitle",Template!$D$2:$G$2,0),FALSE),"NA")</f>
        <v>GERENTE COMERCIAL</v>
      </c>
      <c r="Z285" s="17" t="str">
        <f>IFERROR(VLOOKUP(Template!$M285,Template!$D$3:$G$619,MATCH("EmployeeGroup",Template!$D$2:$G$2,0),FALSE),"NA")</f>
        <v>Coordenador</v>
      </c>
      <c r="AA285" s="17" t="str">
        <f>IFERROR(VLOOKUP(Template!$M285,Template!$D$3:$V$619,MATCH("Layer",Template!$D$2:$V$2,0),FALSE),"NA")</f>
        <v>N2</v>
      </c>
      <c r="AB285" s="21">
        <f>VLOOKUP(Template!$M285,Template!$D$3:$F$619,MATCH("InternalGrade",Template!$D$2:$F$2,0),FALSE)-Template!$F285</f>
        <v>19</v>
      </c>
      <c r="AC285" s="17">
        <f>IF(Template!$AB285&lt;=1, 0.8,IF(Template!$AB285=2,0.4,IF(Template!$AB285=3,0.2,IF(Template!$AB285=4,0.1,IF(Template!$AB285&gt;=5,0.05,"erro")))))</f>
        <v>0.05</v>
      </c>
      <c r="AD285" s="17" t="b">
        <f>Template!$D285=Template!$M285</f>
        <v>0</v>
      </c>
      <c r="AE285" s="12" t="s">
        <v>58</v>
      </c>
    </row>
    <row r="286" ht="15.75" customHeight="1">
      <c r="A286" s="7" t="s">
        <v>190</v>
      </c>
      <c r="B286" s="7" t="s">
        <v>209</v>
      </c>
      <c r="C286" s="7" t="s">
        <v>212</v>
      </c>
      <c r="D286" s="13">
        <v>25003.0</v>
      </c>
      <c r="E286" s="7" t="s">
        <v>193</v>
      </c>
      <c r="F286" s="13"/>
      <c r="G286" s="14" t="s">
        <v>63</v>
      </c>
      <c r="H286" s="7" t="s">
        <v>64</v>
      </c>
      <c r="I286" s="7" t="s">
        <v>65</v>
      </c>
      <c r="J286" s="7" t="s">
        <v>70</v>
      </c>
      <c r="K286" s="15">
        <v>45397.0</v>
      </c>
      <c r="L286" s="15">
        <v>34133.0</v>
      </c>
      <c r="M286" s="13">
        <v>13813.0</v>
      </c>
      <c r="N286" s="7"/>
      <c r="O286" s="7"/>
      <c r="P286" s="7">
        <v>13.33</v>
      </c>
      <c r="Q286" s="7"/>
      <c r="R286" s="20"/>
      <c r="S286" s="7"/>
      <c r="T286" s="20"/>
      <c r="U286" s="16">
        <f>SUM(Template!$N286:$O286)*Template!$P286+Template!$Q286</f>
        <v>0</v>
      </c>
      <c r="V286" s="17" t="str">
        <f>IF(Template!$M286="CONSELHO","N",IF(Template!$AA286="N","N1",IF(Template!$AA286="N1","N2",IF(Template!$AA286="N2","N3",IF(Template!$AA286="N3","N4",IF(Template!$AA286="N4","N5",IF(Template!$AA286="N5","N6",IF(Template!$AA286="N6","N7",IF(Template!$AA286="N7","N8",IF(Template!$AA286="N8","N9",IF(Template!$AA286="N9","N10","NA")))))))))))</f>
        <v>N4</v>
      </c>
      <c r="W286" s="17">
        <f>COUNTIF(Template!$M$3:$M$619,Template!$D286)</f>
        <v>0</v>
      </c>
      <c r="X286" s="17" t="str">
        <f>IF(Template!$F286="","",SUMIF(Template!$M$3:$M$619,Template!$D286,Template!$AC$3:$AC$619))</f>
        <v/>
      </c>
      <c r="Y286" s="17" t="str">
        <f>IFERROR(VLOOKUP(Template!$M286,Template!$D$3:$G$619,MATCH("EmployeeJobTitle",Template!$D$2:$G$2,0),FALSE),"NA")</f>
        <v>GERENTE DE LOJA</v>
      </c>
      <c r="Z286" s="17" t="str">
        <f>IFERROR(VLOOKUP(Template!$M286,Template!$D$3:$G$619,MATCH("EmployeeGroup",Template!$D$2:$G$2,0),FALSE),"NA")</f>
        <v>GERENTE</v>
      </c>
      <c r="AA286" s="17" t="str">
        <f>IFERROR(VLOOKUP(Template!$M286,Template!$D$3:$V$619,MATCH("Layer",Template!$D$2:$V$2,0),FALSE),"NA")</f>
        <v>N3</v>
      </c>
      <c r="AB286" s="21">
        <f>VLOOKUP(Template!$M286,Template!$D$3:$F$619,MATCH("InternalGrade",Template!$D$2:$F$2,0),FALSE)-Template!$F286</f>
        <v>0</v>
      </c>
      <c r="AC286" s="17">
        <f>IF(Template!$AB286&lt;=1, 0.8,IF(Template!$AB286=2,0.4,IF(Template!$AB286=3,0.2,IF(Template!$AB286=4,0.1,IF(Template!$AB286&gt;=5,0.05,"erro")))))</f>
        <v>0.8</v>
      </c>
      <c r="AD286" s="17" t="b">
        <f>Template!$D286=Template!$M286</f>
        <v>0</v>
      </c>
      <c r="AE286" s="12" t="s">
        <v>58</v>
      </c>
    </row>
    <row r="287" ht="15.75" customHeight="1">
      <c r="A287" s="7" t="s">
        <v>190</v>
      </c>
      <c r="B287" s="7" t="s">
        <v>209</v>
      </c>
      <c r="C287" s="7" t="s">
        <v>212</v>
      </c>
      <c r="D287" s="13">
        <v>25449.0</v>
      </c>
      <c r="E287" s="7" t="s">
        <v>196</v>
      </c>
      <c r="F287" s="13"/>
      <c r="G287" s="14" t="s">
        <v>63</v>
      </c>
      <c r="H287" s="7" t="s">
        <v>64</v>
      </c>
      <c r="I287" s="7" t="s">
        <v>65</v>
      </c>
      <c r="J287" s="7" t="s">
        <v>70</v>
      </c>
      <c r="K287" s="15">
        <v>45579.0</v>
      </c>
      <c r="L287" s="15">
        <v>37162.0</v>
      </c>
      <c r="M287" s="13">
        <v>13813.0</v>
      </c>
      <c r="N287" s="7">
        <v>1893.0</v>
      </c>
      <c r="O287" s="7"/>
      <c r="P287" s="7">
        <v>13.33</v>
      </c>
      <c r="Q287" s="7"/>
      <c r="R287" s="20"/>
      <c r="S287" s="7"/>
      <c r="T287" s="20"/>
      <c r="U287" s="16">
        <f>SUM(Template!$N287:$O287)*Template!$P287+Template!$Q287</f>
        <v>25233.69</v>
      </c>
      <c r="V287" s="17" t="str">
        <f>IF(Template!$M287="CONSELHO","N",IF(Template!$AA287="N","N1",IF(Template!$AA287="N1","N2",IF(Template!$AA287="N2","N3",IF(Template!$AA287="N3","N4",IF(Template!$AA287="N4","N5",IF(Template!$AA287="N5","N6",IF(Template!$AA287="N6","N7",IF(Template!$AA287="N7","N8",IF(Template!$AA287="N8","N9",IF(Template!$AA287="N9","N10","NA")))))))))))</f>
        <v>N4</v>
      </c>
      <c r="W287" s="17">
        <f>COUNTIF(Template!$M$3:$M$619,Template!$D287)</f>
        <v>0</v>
      </c>
      <c r="X287" s="17" t="str">
        <f>IF(Template!$F287="","",SUMIF(Template!$M$3:$M$619,Template!$D287,Template!$AC$3:$AC$619))</f>
        <v/>
      </c>
      <c r="Y287" s="17" t="str">
        <f>IFERROR(VLOOKUP(Template!$M287,Template!$D$3:$G$619,MATCH("EmployeeJobTitle",Template!$D$2:$G$2,0),FALSE),"NA")</f>
        <v>GERENTE DE LOJA</v>
      </c>
      <c r="Z287" s="17" t="str">
        <f>IFERROR(VLOOKUP(Template!$M287,Template!$D$3:$G$619,MATCH("EmployeeGroup",Template!$D$2:$G$2,0),FALSE),"NA")</f>
        <v>GERENTE</v>
      </c>
      <c r="AA287" s="17" t="str">
        <f>IFERROR(VLOOKUP(Template!$M287,Template!$D$3:$V$619,MATCH("Layer",Template!$D$2:$V$2,0),FALSE),"NA")</f>
        <v>N3</v>
      </c>
      <c r="AB287" s="21">
        <f>VLOOKUP(Template!$M287,Template!$D$3:$F$619,MATCH("InternalGrade",Template!$D$2:$F$2,0),FALSE)-Template!$F287</f>
        <v>0</v>
      </c>
      <c r="AC287" s="17">
        <f>IF(Template!$AB287&lt;=1, 0.8,IF(Template!$AB287=2,0.4,IF(Template!$AB287=3,0.2,IF(Template!$AB287=4,0.1,IF(Template!$AB287&gt;=5,0.05,"erro")))))</f>
        <v>0.8</v>
      </c>
      <c r="AD287" s="17" t="b">
        <f>Template!$D287=Template!$M287</f>
        <v>0</v>
      </c>
      <c r="AE287" s="12" t="s">
        <v>58</v>
      </c>
    </row>
    <row r="288" ht="15.75" customHeight="1">
      <c r="A288" s="7" t="s">
        <v>190</v>
      </c>
      <c r="B288" s="7" t="s">
        <v>209</v>
      </c>
      <c r="C288" s="7" t="s">
        <v>212</v>
      </c>
      <c r="D288" s="13">
        <v>25358.0</v>
      </c>
      <c r="E288" s="7" t="s">
        <v>198</v>
      </c>
      <c r="F288" s="13"/>
      <c r="G288" s="14" t="s">
        <v>63</v>
      </c>
      <c r="H288" s="7" t="s">
        <v>64</v>
      </c>
      <c r="I288" s="7" t="s">
        <v>65</v>
      </c>
      <c r="J288" s="7" t="s">
        <v>70</v>
      </c>
      <c r="K288" s="15">
        <v>45544.0</v>
      </c>
      <c r="L288" s="15">
        <v>37564.0</v>
      </c>
      <c r="M288" s="13">
        <v>13813.0</v>
      </c>
      <c r="N288" s="7">
        <v>1700.0</v>
      </c>
      <c r="O288" s="7"/>
      <c r="P288" s="7">
        <v>13.33</v>
      </c>
      <c r="Q288" s="7"/>
      <c r="R288" s="20"/>
      <c r="S288" s="7"/>
      <c r="T288" s="20"/>
      <c r="U288" s="16">
        <f>SUM(Template!$N288:$O288)*Template!$P288+Template!$Q288</f>
        <v>22661</v>
      </c>
      <c r="V288" s="17" t="str">
        <f>IF(Template!$M288="CONSELHO","N",IF(Template!$AA288="N","N1",IF(Template!$AA288="N1","N2",IF(Template!$AA288="N2","N3",IF(Template!$AA288="N3","N4",IF(Template!$AA288="N4","N5",IF(Template!$AA288="N5","N6",IF(Template!$AA288="N6","N7",IF(Template!$AA288="N7","N8",IF(Template!$AA288="N8","N9",IF(Template!$AA288="N9","N10","NA")))))))))))</f>
        <v>N4</v>
      </c>
      <c r="W288" s="17">
        <f>COUNTIF(Template!$M$3:$M$619,Template!$D288)</f>
        <v>0</v>
      </c>
      <c r="X288" s="17" t="str">
        <f>IF(Template!$F288="","",SUMIF(Template!$M$3:$M$619,Template!$D288,Template!$AC$3:$AC$619))</f>
        <v/>
      </c>
      <c r="Y288" s="17" t="str">
        <f>IFERROR(VLOOKUP(Template!$M288,Template!$D$3:$G$619,MATCH("EmployeeJobTitle",Template!$D$2:$G$2,0),FALSE),"NA")</f>
        <v>GERENTE DE LOJA</v>
      </c>
      <c r="Z288" s="17" t="str">
        <f>IFERROR(VLOOKUP(Template!$M288,Template!$D$3:$G$619,MATCH("EmployeeGroup",Template!$D$2:$G$2,0),FALSE),"NA")</f>
        <v>GERENTE</v>
      </c>
      <c r="AA288" s="17" t="str">
        <f>IFERROR(VLOOKUP(Template!$M288,Template!$D$3:$V$619,MATCH("Layer",Template!$D$2:$V$2,0),FALSE),"NA")</f>
        <v>N3</v>
      </c>
      <c r="AB288" s="21">
        <f>VLOOKUP(Template!$M288,Template!$D$3:$F$619,MATCH("InternalGrade",Template!$D$2:$F$2,0),FALSE)-Template!$F288</f>
        <v>0</v>
      </c>
      <c r="AC288" s="17">
        <f>IF(Template!$AB288&lt;=1, 0.8,IF(Template!$AB288=2,0.4,IF(Template!$AB288=3,0.2,IF(Template!$AB288=4,0.1,IF(Template!$AB288&gt;=5,0.05,"erro")))))</f>
        <v>0.8</v>
      </c>
      <c r="AD288" s="17" t="b">
        <f>Template!$D288=Template!$M288</f>
        <v>0</v>
      </c>
      <c r="AE288" s="12" t="s">
        <v>58</v>
      </c>
    </row>
    <row r="289" ht="15.75" customHeight="1">
      <c r="A289" s="7" t="s">
        <v>190</v>
      </c>
      <c r="B289" s="7" t="s">
        <v>209</v>
      </c>
      <c r="C289" s="7" t="s">
        <v>212</v>
      </c>
      <c r="D289" s="13">
        <v>20066.0</v>
      </c>
      <c r="E289" s="7" t="s">
        <v>204</v>
      </c>
      <c r="F289" s="13"/>
      <c r="G289" s="14" t="s">
        <v>63</v>
      </c>
      <c r="H289" s="7" t="s">
        <v>64</v>
      </c>
      <c r="I289" s="7" t="s">
        <v>65</v>
      </c>
      <c r="J289" s="7" t="s">
        <v>70</v>
      </c>
      <c r="K289" s="15">
        <v>44516.0</v>
      </c>
      <c r="L289" s="15">
        <v>34579.0</v>
      </c>
      <c r="M289" s="13">
        <v>13813.0</v>
      </c>
      <c r="N289" s="7"/>
      <c r="O289" s="7"/>
      <c r="P289" s="7">
        <v>13.33</v>
      </c>
      <c r="Q289" s="7"/>
      <c r="R289" s="20"/>
      <c r="S289" s="7"/>
      <c r="T289" s="20"/>
      <c r="U289" s="16">
        <f>SUM(Template!$N289:$O289)*Template!$P289+Template!$Q289</f>
        <v>0</v>
      </c>
      <c r="V289" s="17" t="str">
        <f>IF(Template!$M289="CONSELHO","N",IF(Template!$AA289="N","N1",IF(Template!$AA289="N1","N2",IF(Template!$AA289="N2","N3",IF(Template!$AA289="N3","N4",IF(Template!$AA289="N4","N5",IF(Template!$AA289="N5","N6",IF(Template!$AA289="N6","N7",IF(Template!$AA289="N7","N8",IF(Template!$AA289="N8","N9",IF(Template!$AA289="N9","N10","NA")))))))))))</f>
        <v>N4</v>
      </c>
      <c r="W289" s="17">
        <f>COUNTIF(Template!$M$3:$M$619,Template!$D289)</f>
        <v>0</v>
      </c>
      <c r="X289" s="17" t="str">
        <f>IF(Template!$F289="","",SUMIF(Template!$M$3:$M$619,Template!$D289,Template!$AC$3:$AC$619))</f>
        <v/>
      </c>
      <c r="Y289" s="17" t="str">
        <f>IFERROR(VLOOKUP(Template!$M289,Template!$D$3:$G$619,MATCH("EmployeeJobTitle",Template!$D$2:$G$2,0),FALSE),"NA")</f>
        <v>GERENTE DE LOJA</v>
      </c>
      <c r="Z289" s="17" t="str">
        <f>IFERROR(VLOOKUP(Template!$M289,Template!$D$3:$G$619,MATCH("EmployeeGroup",Template!$D$2:$G$2,0),FALSE),"NA")</f>
        <v>GERENTE</v>
      </c>
      <c r="AA289" s="17" t="str">
        <f>IFERROR(VLOOKUP(Template!$M289,Template!$D$3:$V$619,MATCH("Layer",Template!$D$2:$V$2,0),FALSE),"NA")</f>
        <v>N3</v>
      </c>
      <c r="AB289" s="21">
        <f>VLOOKUP(Template!$M289,Template!$D$3:$F$619,MATCH("InternalGrade",Template!$D$2:$F$2,0),FALSE)-Template!$F289</f>
        <v>0</v>
      </c>
      <c r="AC289" s="17">
        <f>IF(Template!$AB289&lt;=1, 0.8,IF(Template!$AB289=2,0.4,IF(Template!$AB289=3,0.2,IF(Template!$AB289=4,0.1,IF(Template!$AB289&gt;=5,0.05,"erro")))))</f>
        <v>0.8</v>
      </c>
      <c r="AD289" s="17" t="b">
        <f>Template!$D289=Template!$M289</f>
        <v>0</v>
      </c>
      <c r="AE289" s="12" t="s">
        <v>58</v>
      </c>
    </row>
    <row r="290" ht="15.75" customHeight="1">
      <c r="A290" s="7" t="s">
        <v>190</v>
      </c>
      <c r="B290" s="7" t="s">
        <v>209</v>
      </c>
      <c r="C290" s="7" t="s">
        <v>228</v>
      </c>
      <c r="D290" s="13">
        <v>25111.0</v>
      </c>
      <c r="E290" s="7" t="s">
        <v>196</v>
      </c>
      <c r="F290" s="13"/>
      <c r="G290" s="14" t="s">
        <v>63</v>
      </c>
      <c r="H290" s="7" t="s">
        <v>64</v>
      </c>
      <c r="I290" s="7" t="s">
        <v>65</v>
      </c>
      <c r="J290" s="7" t="s">
        <v>70</v>
      </c>
      <c r="K290" s="15">
        <v>45449.0</v>
      </c>
      <c r="L290" s="15">
        <v>36412.0</v>
      </c>
      <c r="M290" s="13">
        <v>16702.0</v>
      </c>
      <c r="N290" s="7">
        <v>1893.0</v>
      </c>
      <c r="O290" s="7"/>
      <c r="P290" s="7">
        <v>13.33</v>
      </c>
      <c r="Q290" s="7"/>
      <c r="R290" s="20"/>
      <c r="S290" s="7"/>
      <c r="T290" s="20"/>
      <c r="U290" s="16">
        <f>SUM(Template!$N290:$O290)*Template!$P290+Template!$Q290</f>
        <v>25233.69</v>
      </c>
      <c r="V290" s="17" t="str">
        <f>IF(Template!$M290="CONSELHO","N",IF(Template!$AA290="N","N1",IF(Template!$AA290="N1","N2",IF(Template!$AA290="N2","N3",IF(Template!$AA290="N3","N4",IF(Template!$AA290="N4","N5",IF(Template!$AA290="N5","N6",IF(Template!$AA290="N6","N7",IF(Template!$AA290="N7","N8",IF(Template!$AA290="N8","N9",IF(Template!$AA290="N9","N10","NA")))))))))))</f>
        <v>N4</v>
      </c>
      <c r="W290" s="17">
        <f>COUNTIF(Template!$M$3:$M$619,Template!$D290)</f>
        <v>0</v>
      </c>
      <c r="X290" s="17" t="str">
        <f>IF(Template!$F290="","",SUMIF(Template!$M$3:$M$619,Template!$D290,Template!$AC$3:$AC$619))</f>
        <v/>
      </c>
      <c r="Y290" s="17" t="str">
        <f>IFERROR(VLOOKUP(Template!$M290,Template!$D$3:$G$619,MATCH("EmployeeJobTitle",Template!$D$2:$G$2,0),FALSE),"NA")</f>
        <v>GERENTE DE LOJA</v>
      </c>
      <c r="Z290" s="17" t="str">
        <f>IFERROR(VLOOKUP(Template!$M290,Template!$D$3:$G$619,MATCH("EmployeeGroup",Template!$D$2:$G$2,0),FALSE),"NA")</f>
        <v>GERENTE</v>
      </c>
      <c r="AA290" s="17" t="str">
        <f>IFERROR(VLOOKUP(Template!$M290,Template!$D$3:$V$619,MATCH("Layer",Template!$D$2:$V$2,0),FALSE),"NA")</f>
        <v>N3</v>
      </c>
      <c r="AB290" s="21">
        <f>VLOOKUP(Template!$M290,Template!$D$3:$F$619,MATCH("InternalGrade",Template!$D$2:$F$2,0),FALSE)-Template!$F290</f>
        <v>0</v>
      </c>
      <c r="AC290" s="17">
        <f>IF(Template!$AB290&lt;=1, 0.8,IF(Template!$AB290=2,0.4,IF(Template!$AB290=3,0.2,IF(Template!$AB290=4,0.1,IF(Template!$AB290&gt;=5,0.05,"erro")))))</f>
        <v>0.8</v>
      </c>
      <c r="AD290" s="17" t="b">
        <f>Template!$D290=Template!$M290</f>
        <v>0</v>
      </c>
      <c r="AE290" s="12" t="s">
        <v>58</v>
      </c>
    </row>
    <row r="291" ht="15.75" customHeight="1">
      <c r="A291" s="7" t="s">
        <v>190</v>
      </c>
      <c r="B291" s="7" t="s">
        <v>209</v>
      </c>
      <c r="C291" s="7" t="s">
        <v>228</v>
      </c>
      <c r="D291" s="13">
        <v>16702.0</v>
      </c>
      <c r="E291" s="7" t="s">
        <v>199</v>
      </c>
      <c r="F291" s="13"/>
      <c r="G291" s="22" t="s">
        <v>200</v>
      </c>
      <c r="H291" s="7" t="s">
        <v>64</v>
      </c>
      <c r="I291" s="7" t="s">
        <v>65</v>
      </c>
      <c r="J291" s="7" t="s">
        <v>70</v>
      </c>
      <c r="K291" s="15">
        <v>43150.0</v>
      </c>
      <c r="L291" s="15">
        <v>33931.0</v>
      </c>
      <c r="M291" s="13">
        <v>18766.0</v>
      </c>
      <c r="N291" s="7">
        <v>5030.0</v>
      </c>
      <c r="O291" s="7"/>
      <c r="P291" s="7">
        <v>13.33</v>
      </c>
      <c r="Q291" s="7"/>
      <c r="R291" s="20"/>
      <c r="S291" s="7"/>
      <c r="T291" s="20"/>
      <c r="U291" s="16">
        <f>SUM(Template!$N291:$O291)*Template!$P291+Template!$Q291</f>
        <v>67049.9</v>
      </c>
      <c r="V291" s="17" t="str">
        <f>IF(Template!$M291="CONSELHO","N",IF(Template!$AA291="N","N1",IF(Template!$AA291="N1","N2",IF(Template!$AA291="N2","N3",IF(Template!$AA291="N3","N4",IF(Template!$AA291="N4","N5",IF(Template!$AA291="N5","N6",IF(Template!$AA291="N6","N7",IF(Template!$AA291="N7","N8",IF(Template!$AA291="N8","N9",IF(Template!$AA291="N9","N10","NA")))))))))))</f>
        <v>N3</v>
      </c>
      <c r="W291" s="17">
        <f>COUNTIF(Template!$M$3:$M$619,Template!$D291)</f>
        <v>11</v>
      </c>
      <c r="X291" s="17" t="str">
        <f>IF(Template!$F291="","",SUMIF(Template!$M$3:$M$619,Template!$D291,Template!$AC$3:$AC$619))</f>
        <v/>
      </c>
      <c r="Y291" s="17" t="str">
        <f>IFERROR(VLOOKUP(Template!$M291,Template!$D$3:$G$619,MATCH("EmployeeJobTitle",Template!$D$2:$G$2,0),FALSE),"NA")</f>
        <v>GERENTE COMERCIAL</v>
      </c>
      <c r="Z291" s="17" t="str">
        <f>IFERROR(VLOOKUP(Template!$M291,Template!$D$3:$G$619,MATCH("EmployeeGroup",Template!$D$2:$G$2,0),FALSE),"NA")</f>
        <v>Coordenador</v>
      </c>
      <c r="AA291" s="17" t="str">
        <f>IFERROR(VLOOKUP(Template!$M291,Template!$D$3:$V$619,MATCH("Layer",Template!$D$2:$V$2,0),FALSE),"NA")</f>
        <v>N2</v>
      </c>
      <c r="AB291" s="21">
        <f>VLOOKUP(Template!$M291,Template!$D$3:$F$619,MATCH("InternalGrade",Template!$D$2:$F$2,0),FALSE)-Template!$F291</f>
        <v>19</v>
      </c>
      <c r="AC291" s="17">
        <f>IF(Template!$AB291&lt;=1, 0.8,IF(Template!$AB291=2,0.4,IF(Template!$AB291=3,0.2,IF(Template!$AB291=4,0.1,IF(Template!$AB291&gt;=5,0.05,"erro")))))</f>
        <v>0.05</v>
      </c>
      <c r="AD291" s="17" t="b">
        <f>Template!$D291=Template!$M291</f>
        <v>0</v>
      </c>
      <c r="AE291" s="12" t="s">
        <v>58</v>
      </c>
    </row>
    <row r="292" ht="15.75" customHeight="1">
      <c r="A292" s="7" t="s">
        <v>190</v>
      </c>
      <c r="B292" s="7" t="s">
        <v>209</v>
      </c>
      <c r="C292" s="7" t="s">
        <v>228</v>
      </c>
      <c r="D292" s="13">
        <v>15429.0</v>
      </c>
      <c r="E292" s="7" t="s">
        <v>193</v>
      </c>
      <c r="F292" s="13"/>
      <c r="G292" s="14" t="s">
        <v>63</v>
      </c>
      <c r="H292" s="7" t="s">
        <v>64</v>
      </c>
      <c r="I292" s="7" t="s">
        <v>65</v>
      </c>
      <c r="J292" s="7" t="s">
        <v>70</v>
      </c>
      <c r="K292" s="15">
        <v>42695.0</v>
      </c>
      <c r="L292" s="15">
        <v>32315.0</v>
      </c>
      <c r="M292" s="13">
        <v>16702.0</v>
      </c>
      <c r="N292" s="7"/>
      <c r="O292" s="7"/>
      <c r="P292" s="7">
        <v>13.33</v>
      </c>
      <c r="Q292" s="7"/>
      <c r="R292" s="20"/>
      <c r="S292" s="7"/>
      <c r="T292" s="20"/>
      <c r="U292" s="16">
        <f>SUM(Template!$N292:$O292)*Template!$P292+Template!$Q292</f>
        <v>0</v>
      </c>
      <c r="V292" s="17" t="str">
        <f>IF(Template!$M292="CONSELHO","N",IF(Template!$AA292="N","N1",IF(Template!$AA292="N1","N2",IF(Template!$AA292="N2","N3",IF(Template!$AA292="N3","N4",IF(Template!$AA292="N4","N5",IF(Template!$AA292="N5","N6",IF(Template!$AA292="N6","N7",IF(Template!$AA292="N7","N8",IF(Template!$AA292="N8","N9",IF(Template!$AA292="N9","N10","NA")))))))))))</f>
        <v>N4</v>
      </c>
      <c r="W292" s="17">
        <f>COUNTIF(Template!$M$3:$M$619,Template!$D292)</f>
        <v>0</v>
      </c>
      <c r="X292" s="17" t="str">
        <f>IF(Template!$F292="","",SUMIF(Template!$M$3:$M$619,Template!$D292,Template!$AC$3:$AC$619))</f>
        <v/>
      </c>
      <c r="Y292" s="17" t="str">
        <f>IFERROR(VLOOKUP(Template!$M292,Template!$D$3:$G$619,MATCH("EmployeeJobTitle",Template!$D$2:$G$2,0),FALSE),"NA")</f>
        <v>GERENTE DE LOJA</v>
      </c>
      <c r="Z292" s="17" t="str">
        <f>IFERROR(VLOOKUP(Template!$M292,Template!$D$3:$G$619,MATCH("EmployeeGroup",Template!$D$2:$G$2,0),FALSE),"NA")</f>
        <v>GERENTE</v>
      </c>
      <c r="AA292" s="17" t="str">
        <f>IFERROR(VLOOKUP(Template!$M292,Template!$D$3:$V$619,MATCH("Layer",Template!$D$2:$V$2,0),FALSE),"NA")</f>
        <v>N3</v>
      </c>
      <c r="AB292" s="21">
        <f>VLOOKUP(Template!$M292,Template!$D$3:$F$619,MATCH("InternalGrade",Template!$D$2:$F$2,0),FALSE)-Template!$F292</f>
        <v>0</v>
      </c>
      <c r="AC292" s="17">
        <f>IF(Template!$AB292&lt;=1, 0.8,IF(Template!$AB292=2,0.4,IF(Template!$AB292=3,0.2,IF(Template!$AB292=4,0.1,IF(Template!$AB292&gt;=5,0.05,"erro")))))</f>
        <v>0.8</v>
      </c>
      <c r="AD292" s="17" t="b">
        <f>Template!$D292=Template!$M292</f>
        <v>0</v>
      </c>
      <c r="AE292" s="12" t="s">
        <v>58</v>
      </c>
    </row>
    <row r="293" ht="15.75" customHeight="1">
      <c r="A293" s="7" t="s">
        <v>190</v>
      </c>
      <c r="B293" s="7" t="s">
        <v>209</v>
      </c>
      <c r="C293" s="7" t="s">
        <v>228</v>
      </c>
      <c r="D293" s="13">
        <v>19578.0</v>
      </c>
      <c r="E293" s="7" t="s">
        <v>203</v>
      </c>
      <c r="F293" s="13"/>
      <c r="G293" s="14" t="s">
        <v>63</v>
      </c>
      <c r="H293" s="7" t="s">
        <v>64</v>
      </c>
      <c r="I293" s="7" t="s">
        <v>65</v>
      </c>
      <c r="J293" s="7" t="s">
        <v>70</v>
      </c>
      <c r="K293" s="15">
        <v>44348.0</v>
      </c>
      <c r="L293" s="15">
        <v>32072.0</v>
      </c>
      <c r="M293" s="13">
        <v>16702.0</v>
      </c>
      <c r="N293" s="7"/>
      <c r="O293" s="7"/>
      <c r="P293" s="7">
        <v>13.33</v>
      </c>
      <c r="Q293" s="7"/>
      <c r="R293" s="20"/>
      <c r="S293" s="7"/>
      <c r="T293" s="20"/>
      <c r="U293" s="16">
        <f>SUM(Template!$N293:$O293)*Template!$P293+Template!$Q293</f>
        <v>0</v>
      </c>
      <c r="V293" s="17" t="str">
        <f>IF(Template!$M293="CONSELHO","N",IF(Template!$AA293="N","N1",IF(Template!$AA293="N1","N2",IF(Template!$AA293="N2","N3",IF(Template!$AA293="N3","N4",IF(Template!$AA293="N4","N5",IF(Template!$AA293="N5","N6",IF(Template!$AA293="N6","N7",IF(Template!$AA293="N7","N8",IF(Template!$AA293="N8","N9",IF(Template!$AA293="N9","N10","NA")))))))))))</f>
        <v>N4</v>
      </c>
      <c r="W293" s="17">
        <f>COUNTIF(Template!$M$3:$M$619,Template!$D293)</f>
        <v>0</v>
      </c>
      <c r="X293" s="17" t="str">
        <f>IF(Template!$F293="","",SUMIF(Template!$M$3:$M$619,Template!$D293,Template!$AC$3:$AC$619))</f>
        <v/>
      </c>
      <c r="Y293" s="17" t="str">
        <f>IFERROR(VLOOKUP(Template!$M293,Template!$D$3:$G$619,MATCH("EmployeeJobTitle",Template!$D$2:$G$2,0),FALSE),"NA")</f>
        <v>GERENTE DE LOJA</v>
      </c>
      <c r="Z293" s="17" t="str">
        <f>IFERROR(VLOOKUP(Template!$M293,Template!$D$3:$G$619,MATCH("EmployeeGroup",Template!$D$2:$G$2,0),FALSE),"NA")</f>
        <v>GERENTE</v>
      </c>
      <c r="AA293" s="17" t="str">
        <f>IFERROR(VLOOKUP(Template!$M293,Template!$D$3:$V$619,MATCH("Layer",Template!$D$2:$V$2,0),FALSE),"NA")</f>
        <v>N3</v>
      </c>
      <c r="AB293" s="21">
        <f>VLOOKUP(Template!$M293,Template!$D$3:$F$619,MATCH("InternalGrade",Template!$D$2:$F$2,0),FALSE)-Template!$F293</f>
        <v>0</v>
      </c>
      <c r="AC293" s="17">
        <f>IF(Template!$AB293&lt;=1, 0.8,IF(Template!$AB293=2,0.4,IF(Template!$AB293=3,0.2,IF(Template!$AB293=4,0.1,IF(Template!$AB293&gt;=5,0.05,"erro")))))</f>
        <v>0.8</v>
      </c>
      <c r="AD293" s="17" t="b">
        <f>Template!$D293=Template!$M293</f>
        <v>0</v>
      </c>
      <c r="AE293" s="12" t="s">
        <v>58</v>
      </c>
    </row>
    <row r="294" ht="15.75" customHeight="1">
      <c r="A294" s="7" t="s">
        <v>190</v>
      </c>
      <c r="B294" s="7" t="s">
        <v>209</v>
      </c>
      <c r="C294" s="7" t="s">
        <v>228</v>
      </c>
      <c r="D294" s="13">
        <v>18815.0</v>
      </c>
      <c r="E294" s="7" t="s">
        <v>204</v>
      </c>
      <c r="F294" s="13"/>
      <c r="G294" s="14" t="s">
        <v>63</v>
      </c>
      <c r="H294" s="7" t="s">
        <v>64</v>
      </c>
      <c r="I294" s="7" t="s">
        <v>65</v>
      </c>
      <c r="J294" s="7" t="s">
        <v>70</v>
      </c>
      <c r="K294" s="15">
        <v>44125.0</v>
      </c>
      <c r="L294" s="15">
        <v>31672.0</v>
      </c>
      <c r="M294" s="13">
        <v>16702.0</v>
      </c>
      <c r="N294" s="7"/>
      <c r="O294" s="7"/>
      <c r="P294" s="7">
        <v>13.33</v>
      </c>
      <c r="Q294" s="7"/>
      <c r="R294" s="20"/>
      <c r="S294" s="7"/>
      <c r="T294" s="20"/>
      <c r="U294" s="16">
        <f>SUM(Template!$N294:$O294)*Template!$P294+Template!$Q294</f>
        <v>0</v>
      </c>
      <c r="V294" s="17" t="str">
        <f>IF(Template!$M294="CONSELHO","N",IF(Template!$AA294="N","N1",IF(Template!$AA294="N1","N2",IF(Template!$AA294="N2","N3",IF(Template!$AA294="N3","N4",IF(Template!$AA294="N4","N5",IF(Template!$AA294="N5","N6",IF(Template!$AA294="N6","N7",IF(Template!$AA294="N7","N8",IF(Template!$AA294="N8","N9",IF(Template!$AA294="N9","N10","NA")))))))))))</f>
        <v>N4</v>
      </c>
      <c r="W294" s="17">
        <f>COUNTIF(Template!$M$3:$M$619,Template!$D294)</f>
        <v>0</v>
      </c>
      <c r="X294" s="17" t="str">
        <f>IF(Template!$F294="","",SUMIF(Template!$M$3:$M$619,Template!$D294,Template!$AC$3:$AC$619))</f>
        <v/>
      </c>
      <c r="Y294" s="17" t="str">
        <f>IFERROR(VLOOKUP(Template!$M294,Template!$D$3:$G$619,MATCH("EmployeeJobTitle",Template!$D$2:$G$2,0),FALSE),"NA")</f>
        <v>GERENTE DE LOJA</v>
      </c>
      <c r="Z294" s="17" t="str">
        <f>IFERROR(VLOOKUP(Template!$M294,Template!$D$3:$G$619,MATCH("EmployeeGroup",Template!$D$2:$G$2,0),FALSE),"NA")</f>
        <v>GERENTE</v>
      </c>
      <c r="AA294" s="17" t="str">
        <f>IFERROR(VLOOKUP(Template!$M294,Template!$D$3:$V$619,MATCH("Layer",Template!$D$2:$V$2,0),FALSE),"NA")</f>
        <v>N3</v>
      </c>
      <c r="AB294" s="21">
        <f>VLOOKUP(Template!$M294,Template!$D$3:$F$619,MATCH("InternalGrade",Template!$D$2:$F$2,0),FALSE)-Template!$F294</f>
        <v>0</v>
      </c>
      <c r="AC294" s="17">
        <f>IF(Template!$AB294&lt;=1, 0.8,IF(Template!$AB294=2,0.4,IF(Template!$AB294=3,0.2,IF(Template!$AB294=4,0.1,IF(Template!$AB294&gt;=5,0.05,"erro")))))</f>
        <v>0.8</v>
      </c>
      <c r="AD294" s="17" t="b">
        <f>Template!$D294=Template!$M294</f>
        <v>0</v>
      </c>
      <c r="AE294" s="12" t="s">
        <v>58</v>
      </c>
    </row>
    <row r="295" ht="15.75" customHeight="1">
      <c r="A295" s="7" t="s">
        <v>190</v>
      </c>
      <c r="B295" s="7" t="s">
        <v>209</v>
      </c>
      <c r="C295" s="7" t="s">
        <v>228</v>
      </c>
      <c r="D295" s="13">
        <v>22787.0</v>
      </c>
      <c r="E295" s="7" t="s">
        <v>196</v>
      </c>
      <c r="F295" s="13"/>
      <c r="G295" s="14" t="s">
        <v>63</v>
      </c>
      <c r="H295" s="7" t="s">
        <v>64</v>
      </c>
      <c r="I295" s="7" t="s">
        <v>65</v>
      </c>
      <c r="J295" s="7" t="s">
        <v>70</v>
      </c>
      <c r="K295" s="15">
        <v>44887.0</v>
      </c>
      <c r="L295" s="15">
        <v>37762.0</v>
      </c>
      <c r="M295" s="13">
        <v>16702.0</v>
      </c>
      <c r="N295" s="7">
        <v>1893.0</v>
      </c>
      <c r="O295" s="7"/>
      <c r="P295" s="7">
        <v>13.33</v>
      </c>
      <c r="Q295" s="7"/>
      <c r="R295" s="20"/>
      <c r="S295" s="7"/>
      <c r="T295" s="20"/>
      <c r="U295" s="16">
        <f>SUM(Template!$N295:$O295)*Template!$P295+Template!$Q295</f>
        <v>25233.69</v>
      </c>
      <c r="V295" s="17" t="str">
        <f>IF(Template!$M295="CONSELHO","N",IF(Template!$AA295="N","N1",IF(Template!$AA295="N1","N2",IF(Template!$AA295="N2","N3",IF(Template!$AA295="N3","N4",IF(Template!$AA295="N4","N5",IF(Template!$AA295="N5","N6",IF(Template!$AA295="N6","N7",IF(Template!$AA295="N7","N8",IF(Template!$AA295="N8","N9",IF(Template!$AA295="N9","N10","NA")))))))))))</f>
        <v>N4</v>
      </c>
      <c r="W295" s="17">
        <f>COUNTIF(Template!$M$3:$M$619,Template!$D295)</f>
        <v>0</v>
      </c>
      <c r="X295" s="17" t="str">
        <f>IF(Template!$F295="","",SUMIF(Template!$M$3:$M$619,Template!$D295,Template!$AC$3:$AC$619))</f>
        <v/>
      </c>
      <c r="Y295" s="17" t="str">
        <f>IFERROR(VLOOKUP(Template!$M295,Template!$D$3:$G$619,MATCH("EmployeeJobTitle",Template!$D$2:$G$2,0),FALSE),"NA")</f>
        <v>GERENTE DE LOJA</v>
      </c>
      <c r="Z295" s="17" t="str">
        <f>IFERROR(VLOOKUP(Template!$M295,Template!$D$3:$G$619,MATCH("EmployeeGroup",Template!$D$2:$G$2,0),FALSE),"NA")</f>
        <v>GERENTE</v>
      </c>
      <c r="AA295" s="17" t="str">
        <f>IFERROR(VLOOKUP(Template!$M295,Template!$D$3:$V$619,MATCH("Layer",Template!$D$2:$V$2,0),FALSE),"NA")</f>
        <v>N3</v>
      </c>
      <c r="AB295" s="21">
        <f>VLOOKUP(Template!$M295,Template!$D$3:$F$619,MATCH("InternalGrade",Template!$D$2:$F$2,0),FALSE)-Template!$F295</f>
        <v>0</v>
      </c>
      <c r="AC295" s="17">
        <f>IF(Template!$AB295&lt;=1, 0.8,IF(Template!$AB295=2,0.4,IF(Template!$AB295=3,0.2,IF(Template!$AB295=4,0.1,IF(Template!$AB295&gt;=5,0.05,"erro")))))</f>
        <v>0.8</v>
      </c>
      <c r="AD295" s="17" t="b">
        <f>Template!$D295=Template!$M295</f>
        <v>0</v>
      </c>
      <c r="AE295" s="12" t="s">
        <v>58</v>
      </c>
    </row>
    <row r="296" ht="15.75" customHeight="1">
      <c r="A296" s="7" t="s">
        <v>190</v>
      </c>
      <c r="B296" s="7" t="s">
        <v>209</v>
      </c>
      <c r="C296" s="7" t="s">
        <v>228</v>
      </c>
      <c r="D296" s="13">
        <v>25255.0</v>
      </c>
      <c r="E296" s="7" t="s">
        <v>193</v>
      </c>
      <c r="F296" s="13"/>
      <c r="G296" s="14" t="s">
        <v>63</v>
      </c>
      <c r="H296" s="7" t="s">
        <v>64</v>
      </c>
      <c r="I296" s="7" t="s">
        <v>65</v>
      </c>
      <c r="J296" s="7" t="s">
        <v>70</v>
      </c>
      <c r="K296" s="15">
        <v>45509.0</v>
      </c>
      <c r="L296" s="15">
        <v>31686.0</v>
      </c>
      <c r="M296" s="13">
        <v>16702.0</v>
      </c>
      <c r="N296" s="7"/>
      <c r="O296" s="7"/>
      <c r="P296" s="7">
        <v>13.33</v>
      </c>
      <c r="Q296" s="7"/>
      <c r="R296" s="20"/>
      <c r="S296" s="7"/>
      <c r="T296" s="20"/>
      <c r="U296" s="16">
        <f>SUM(Template!$N296:$O296)*Template!$P296+Template!$Q296</f>
        <v>0</v>
      </c>
      <c r="V296" s="17" t="str">
        <f>IF(Template!$M296="CONSELHO","N",IF(Template!$AA296="N","N1",IF(Template!$AA296="N1","N2",IF(Template!$AA296="N2","N3",IF(Template!$AA296="N3","N4",IF(Template!$AA296="N4","N5",IF(Template!$AA296="N5","N6",IF(Template!$AA296="N6","N7",IF(Template!$AA296="N7","N8",IF(Template!$AA296="N8","N9",IF(Template!$AA296="N9","N10","NA")))))))))))</f>
        <v>N4</v>
      </c>
      <c r="W296" s="17">
        <f>COUNTIF(Template!$M$3:$M$619,Template!$D296)</f>
        <v>0</v>
      </c>
      <c r="X296" s="17" t="str">
        <f>IF(Template!$F296="","",SUMIF(Template!$M$3:$M$619,Template!$D296,Template!$AC$3:$AC$619))</f>
        <v/>
      </c>
      <c r="Y296" s="17" t="str">
        <f>IFERROR(VLOOKUP(Template!$M296,Template!$D$3:$G$619,MATCH("EmployeeJobTitle",Template!$D$2:$G$2,0),FALSE),"NA")</f>
        <v>GERENTE DE LOJA</v>
      </c>
      <c r="Z296" s="17" t="str">
        <f>IFERROR(VLOOKUP(Template!$M296,Template!$D$3:$G$619,MATCH("EmployeeGroup",Template!$D$2:$G$2,0),FALSE),"NA")</f>
        <v>GERENTE</v>
      </c>
      <c r="AA296" s="17" t="str">
        <f>IFERROR(VLOOKUP(Template!$M296,Template!$D$3:$V$619,MATCH("Layer",Template!$D$2:$V$2,0),FALSE),"NA")</f>
        <v>N3</v>
      </c>
      <c r="AB296" s="21">
        <f>VLOOKUP(Template!$M296,Template!$D$3:$F$619,MATCH("InternalGrade",Template!$D$2:$F$2,0),FALSE)-Template!$F296</f>
        <v>0</v>
      </c>
      <c r="AC296" s="17">
        <f>IF(Template!$AB296&lt;=1, 0.8,IF(Template!$AB296=2,0.4,IF(Template!$AB296=3,0.2,IF(Template!$AB296=4,0.1,IF(Template!$AB296&gt;=5,0.05,"erro")))))</f>
        <v>0.8</v>
      </c>
      <c r="AD296" s="17" t="b">
        <f>Template!$D296=Template!$M296</f>
        <v>0</v>
      </c>
      <c r="AE296" s="12" t="s">
        <v>58</v>
      </c>
    </row>
    <row r="297" ht="15.75" customHeight="1">
      <c r="A297" s="7" t="s">
        <v>190</v>
      </c>
      <c r="B297" s="7" t="s">
        <v>209</v>
      </c>
      <c r="C297" s="7" t="s">
        <v>228</v>
      </c>
      <c r="D297" s="13">
        <v>24930.0</v>
      </c>
      <c r="E297" s="7" t="s">
        <v>193</v>
      </c>
      <c r="F297" s="13"/>
      <c r="G297" s="14" t="s">
        <v>63</v>
      </c>
      <c r="H297" s="7" t="s">
        <v>64</v>
      </c>
      <c r="I297" s="7" t="s">
        <v>65</v>
      </c>
      <c r="J297" s="7" t="s">
        <v>70</v>
      </c>
      <c r="K297" s="15">
        <v>45369.0</v>
      </c>
      <c r="L297" s="15">
        <v>33931.0</v>
      </c>
      <c r="M297" s="13">
        <v>16702.0</v>
      </c>
      <c r="N297" s="7"/>
      <c r="O297" s="7"/>
      <c r="P297" s="7">
        <v>13.33</v>
      </c>
      <c r="Q297" s="7"/>
      <c r="R297" s="20"/>
      <c r="S297" s="7"/>
      <c r="T297" s="20"/>
      <c r="U297" s="16">
        <f>SUM(Template!$N297:$O297)*Template!$P297+Template!$Q297</f>
        <v>0</v>
      </c>
      <c r="V297" s="17" t="str">
        <f>IF(Template!$M297="CONSELHO","N",IF(Template!$AA297="N","N1",IF(Template!$AA297="N1","N2",IF(Template!$AA297="N2","N3",IF(Template!$AA297="N3","N4",IF(Template!$AA297="N4","N5",IF(Template!$AA297="N5","N6",IF(Template!$AA297="N6","N7",IF(Template!$AA297="N7","N8",IF(Template!$AA297="N8","N9",IF(Template!$AA297="N9","N10","NA")))))))))))</f>
        <v>N4</v>
      </c>
      <c r="W297" s="17">
        <f>COUNTIF(Template!$M$3:$M$619,Template!$D297)</f>
        <v>0</v>
      </c>
      <c r="X297" s="17" t="str">
        <f>IF(Template!$F297="","",SUMIF(Template!$M$3:$M$619,Template!$D297,Template!$AC$3:$AC$619))</f>
        <v/>
      </c>
      <c r="Y297" s="17" t="str">
        <f>IFERROR(VLOOKUP(Template!$M297,Template!$D$3:$G$619,MATCH("EmployeeJobTitle",Template!$D$2:$G$2,0),FALSE),"NA")</f>
        <v>GERENTE DE LOJA</v>
      </c>
      <c r="Z297" s="17" t="str">
        <f>IFERROR(VLOOKUP(Template!$M297,Template!$D$3:$G$619,MATCH("EmployeeGroup",Template!$D$2:$G$2,0),FALSE),"NA")</f>
        <v>GERENTE</v>
      </c>
      <c r="AA297" s="17" t="str">
        <f>IFERROR(VLOOKUP(Template!$M297,Template!$D$3:$V$619,MATCH("Layer",Template!$D$2:$V$2,0),FALSE),"NA")</f>
        <v>N3</v>
      </c>
      <c r="AB297" s="21">
        <f>VLOOKUP(Template!$M297,Template!$D$3:$F$619,MATCH("InternalGrade",Template!$D$2:$F$2,0),FALSE)-Template!$F297</f>
        <v>0</v>
      </c>
      <c r="AC297" s="17">
        <f>IF(Template!$AB297&lt;=1, 0.8,IF(Template!$AB297=2,0.4,IF(Template!$AB297=3,0.2,IF(Template!$AB297=4,0.1,IF(Template!$AB297&gt;=5,0.05,"erro")))))</f>
        <v>0.8</v>
      </c>
      <c r="AD297" s="17" t="b">
        <f>Template!$D297=Template!$M297</f>
        <v>0</v>
      </c>
      <c r="AE297" s="12" t="s">
        <v>58</v>
      </c>
    </row>
    <row r="298" ht="15.75" customHeight="1">
      <c r="A298" s="7" t="s">
        <v>190</v>
      </c>
      <c r="B298" s="7" t="s">
        <v>209</v>
      </c>
      <c r="C298" s="7" t="s">
        <v>228</v>
      </c>
      <c r="D298" s="13">
        <v>19380.0</v>
      </c>
      <c r="E298" s="7" t="s">
        <v>198</v>
      </c>
      <c r="F298" s="13"/>
      <c r="G298" s="14" t="s">
        <v>63</v>
      </c>
      <c r="H298" s="7" t="s">
        <v>64</v>
      </c>
      <c r="I298" s="7" t="s">
        <v>65</v>
      </c>
      <c r="J298" s="7" t="s">
        <v>70</v>
      </c>
      <c r="K298" s="15">
        <v>44239.0</v>
      </c>
      <c r="L298" s="15">
        <v>30061.0</v>
      </c>
      <c r="M298" s="13">
        <v>16702.0</v>
      </c>
      <c r="N298" s="7">
        <v>2056.0</v>
      </c>
      <c r="O298" s="7"/>
      <c r="P298" s="7">
        <v>13.33</v>
      </c>
      <c r="Q298" s="7"/>
      <c r="R298" s="20"/>
      <c r="S298" s="7"/>
      <c r="T298" s="20"/>
      <c r="U298" s="16">
        <f>SUM(Template!$N298:$O298)*Template!$P298+Template!$Q298</f>
        <v>27406.48</v>
      </c>
      <c r="V298" s="17" t="str">
        <f>IF(Template!$M298="CONSELHO","N",IF(Template!$AA298="N","N1",IF(Template!$AA298="N1","N2",IF(Template!$AA298="N2","N3",IF(Template!$AA298="N3","N4",IF(Template!$AA298="N4","N5",IF(Template!$AA298="N5","N6",IF(Template!$AA298="N6","N7",IF(Template!$AA298="N7","N8",IF(Template!$AA298="N8","N9",IF(Template!$AA298="N9","N10","NA")))))))))))</f>
        <v>N4</v>
      </c>
      <c r="W298" s="17">
        <f>COUNTIF(Template!$M$3:$M$619,Template!$D298)</f>
        <v>0</v>
      </c>
      <c r="X298" s="17" t="str">
        <f>IF(Template!$F298="","",SUMIF(Template!$M$3:$M$619,Template!$D298,Template!$AC$3:$AC$619))</f>
        <v/>
      </c>
      <c r="Y298" s="17" t="str">
        <f>IFERROR(VLOOKUP(Template!$M298,Template!$D$3:$G$619,MATCH("EmployeeJobTitle",Template!$D$2:$G$2,0),FALSE),"NA")</f>
        <v>GERENTE DE LOJA</v>
      </c>
      <c r="Z298" s="17" t="str">
        <f>IFERROR(VLOOKUP(Template!$M298,Template!$D$3:$G$619,MATCH("EmployeeGroup",Template!$D$2:$G$2,0),FALSE),"NA")</f>
        <v>GERENTE</v>
      </c>
      <c r="AA298" s="17" t="str">
        <f>IFERROR(VLOOKUP(Template!$M298,Template!$D$3:$V$619,MATCH("Layer",Template!$D$2:$V$2,0),FALSE),"NA")</f>
        <v>N3</v>
      </c>
      <c r="AB298" s="21">
        <f>VLOOKUP(Template!$M298,Template!$D$3:$F$619,MATCH("InternalGrade",Template!$D$2:$F$2,0),FALSE)-Template!$F298</f>
        <v>0</v>
      </c>
      <c r="AC298" s="17">
        <f>IF(Template!$AB298&lt;=1, 0.8,IF(Template!$AB298=2,0.4,IF(Template!$AB298=3,0.2,IF(Template!$AB298=4,0.1,IF(Template!$AB298&gt;=5,0.05,"erro")))))</f>
        <v>0.8</v>
      </c>
      <c r="AD298" s="17" t="b">
        <f>Template!$D298=Template!$M298</f>
        <v>0</v>
      </c>
      <c r="AE298" s="12" t="s">
        <v>58</v>
      </c>
    </row>
    <row r="299" ht="15.75" customHeight="1">
      <c r="A299" s="7" t="s">
        <v>190</v>
      </c>
      <c r="B299" s="7" t="s">
        <v>209</v>
      </c>
      <c r="C299" s="7" t="s">
        <v>228</v>
      </c>
      <c r="D299" s="13">
        <v>22610.0</v>
      </c>
      <c r="E299" s="7" t="s">
        <v>203</v>
      </c>
      <c r="F299" s="13"/>
      <c r="G299" s="14" t="s">
        <v>63</v>
      </c>
      <c r="H299" s="7" t="s">
        <v>64</v>
      </c>
      <c r="I299" s="7" t="s">
        <v>65</v>
      </c>
      <c r="J299" s="7" t="s">
        <v>70</v>
      </c>
      <c r="K299" s="15">
        <v>44882.0</v>
      </c>
      <c r="L299" s="15">
        <v>34599.0</v>
      </c>
      <c r="M299" s="13">
        <v>16702.0</v>
      </c>
      <c r="N299" s="7"/>
      <c r="O299" s="7"/>
      <c r="P299" s="7">
        <v>13.33</v>
      </c>
      <c r="Q299" s="7"/>
      <c r="R299" s="20"/>
      <c r="S299" s="7"/>
      <c r="T299" s="20"/>
      <c r="U299" s="16">
        <f>SUM(Template!$N299:$O299)*Template!$P299+Template!$Q299</f>
        <v>0</v>
      </c>
      <c r="V299" s="17" t="str">
        <f>IF(Template!$M299="CONSELHO","N",IF(Template!$AA299="N","N1",IF(Template!$AA299="N1","N2",IF(Template!$AA299="N2","N3",IF(Template!$AA299="N3","N4",IF(Template!$AA299="N4","N5",IF(Template!$AA299="N5","N6",IF(Template!$AA299="N6","N7",IF(Template!$AA299="N7","N8",IF(Template!$AA299="N8","N9",IF(Template!$AA299="N9","N10","NA")))))))))))</f>
        <v>N4</v>
      </c>
      <c r="W299" s="17">
        <f>COUNTIF(Template!$M$3:$M$619,Template!$D299)</f>
        <v>0</v>
      </c>
      <c r="X299" s="17" t="str">
        <f>IF(Template!$F299="","",SUMIF(Template!$M$3:$M$619,Template!$D299,Template!$AC$3:$AC$619))</f>
        <v/>
      </c>
      <c r="Y299" s="17" t="str">
        <f>IFERROR(VLOOKUP(Template!$M299,Template!$D$3:$G$619,MATCH("EmployeeJobTitle",Template!$D$2:$G$2,0),FALSE),"NA")</f>
        <v>GERENTE DE LOJA</v>
      </c>
      <c r="Z299" s="17" t="str">
        <f>IFERROR(VLOOKUP(Template!$M299,Template!$D$3:$G$619,MATCH("EmployeeGroup",Template!$D$2:$G$2,0),FALSE),"NA")</f>
        <v>GERENTE</v>
      </c>
      <c r="AA299" s="17" t="str">
        <f>IFERROR(VLOOKUP(Template!$M299,Template!$D$3:$V$619,MATCH("Layer",Template!$D$2:$V$2,0),FALSE),"NA")</f>
        <v>N3</v>
      </c>
      <c r="AB299" s="21">
        <f>VLOOKUP(Template!$M299,Template!$D$3:$F$619,MATCH("InternalGrade",Template!$D$2:$F$2,0),FALSE)-Template!$F299</f>
        <v>0</v>
      </c>
      <c r="AC299" s="17">
        <f>IF(Template!$AB299&lt;=1, 0.8,IF(Template!$AB299=2,0.4,IF(Template!$AB299=3,0.2,IF(Template!$AB299=4,0.1,IF(Template!$AB299&gt;=5,0.05,"erro")))))</f>
        <v>0.8</v>
      </c>
      <c r="AD299" s="17" t="b">
        <f>Template!$D299=Template!$M299</f>
        <v>0</v>
      </c>
      <c r="AE299" s="12" t="s">
        <v>58</v>
      </c>
    </row>
    <row r="300" ht="15.75" customHeight="1">
      <c r="A300" s="7" t="s">
        <v>190</v>
      </c>
      <c r="B300" s="7" t="s">
        <v>209</v>
      </c>
      <c r="C300" s="7" t="s">
        <v>228</v>
      </c>
      <c r="D300" s="13">
        <v>19522.0</v>
      </c>
      <c r="E300" s="7" t="s">
        <v>193</v>
      </c>
      <c r="F300" s="13"/>
      <c r="G300" s="14" t="s">
        <v>63</v>
      </c>
      <c r="H300" s="7" t="s">
        <v>64</v>
      </c>
      <c r="I300" s="7" t="s">
        <v>65</v>
      </c>
      <c r="J300" s="7" t="s">
        <v>70</v>
      </c>
      <c r="K300" s="15">
        <v>44320.0</v>
      </c>
      <c r="L300" s="15">
        <v>32564.0</v>
      </c>
      <c r="M300" s="13">
        <v>16702.0</v>
      </c>
      <c r="N300" s="7"/>
      <c r="O300" s="7"/>
      <c r="P300" s="7">
        <v>13.33</v>
      </c>
      <c r="Q300" s="7"/>
      <c r="R300" s="20"/>
      <c r="S300" s="7"/>
      <c r="T300" s="20"/>
      <c r="U300" s="16">
        <f>SUM(Template!$N300:$O300)*Template!$P300+Template!$Q300</f>
        <v>0</v>
      </c>
      <c r="V300" s="17" t="str">
        <f>IF(Template!$M300="CONSELHO","N",IF(Template!$AA300="N","N1",IF(Template!$AA300="N1","N2",IF(Template!$AA300="N2","N3",IF(Template!$AA300="N3","N4",IF(Template!$AA300="N4","N5",IF(Template!$AA300="N5","N6",IF(Template!$AA300="N6","N7",IF(Template!$AA300="N7","N8",IF(Template!$AA300="N8","N9",IF(Template!$AA300="N9","N10","NA")))))))))))</f>
        <v>N4</v>
      </c>
      <c r="W300" s="17">
        <f>COUNTIF(Template!$M$3:$M$619,Template!$D300)</f>
        <v>0</v>
      </c>
      <c r="X300" s="17" t="str">
        <f>IF(Template!$F300="","",SUMIF(Template!$M$3:$M$619,Template!$D300,Template!$AC$3:$AC$619))</f>
        <v/>
      </c>
      <c r="Y300" s="17" t="str">
        <f>IFERROR(VLOOKUP(Template!$M300,Template!$D$3:$G$619,MATCH("EmployeeJobTitle",Template!$D$2:$G$2,0),FALSE),"NA")</f>
        <v>GERENTE DE LOJA</v>
      </c>
      <c r="Z300" s="17" t="str">
        <f>IFERROR(VLOOKUP(Template!$M300,Template!$D$3:$G$619,MATCH("EmployeeGroup",Template!$D$2:$G$2,0),FALSE),"NA")</f>
        <v>GERENTE</v>
      </c>
      <c r="AA300" s="17" t="str">
        <f>IFERROR(VLOOKUP(Template!$M300,Template!$D$3:$V$619,MATCH("Layer",Template!$D$2:$V$2,0),FALSE),"NA")</f>
        <v>N3</v>
      </c>
      <c r="AB300" s="21">
        <f>VLOOKUP(Template!$M300,Template!$D$3:$F$619,MATCH("InternalGrade",Template!$D$2:$F$2,0),FALSE)-Template!$F300</f>
        <v>0</v>
      </c>
      <c r="AC300" s="17">
        <f>IF(Template!$AB300&lt;=1, 0.8,IF(Template!$AB300=2,0.4,IF(Template!$AB300=3,0.2,IF(Template!$AB300=4,0.1,IF(Template!$AB300&gt;=5,0.05,"erro")))))</f>
        <v>0.8</v>
      </c>
      <c r="AD300" s="17" t="b">
        <f>Template!$D300=Template!$M300</f>
        <v>0</v>
      </c>
      <c r="AE300" s="12" t="s">
        <v>58</v>
      </c>
    </row>
    <row r="301" ht="15.75" customHeight="1">
      <c r="A301" s="7" t="s">
        <v>190</v>
      </c>
      <c r="B301" s="7" t="s">
        <v>209</v>
      </c>
      <c r="C301" s="7" t="s">
        <v>228</v>
      </c>
      <c r="D301" s="13">
        <v>19394.0</v>
      </c>
      <c r="E301" s="7" t="s">
        <v>193</v>
      </c>
      <c r="F301" s="13"/>
      <c r="G301" s="14" t="s">
        <v>63</v>
      </c>
      <c r="H301" s="7" t="s">
        <v>64</v>
      </c>
      <c r="I301" s="7" t="s">
        <v>65</v>
      </c>
      <c r="J301" s="7" t="s">
        <v>70</v>
      </c>
      <c r="K301" s="15">
        <v>44245.0</v>
      </c>
      <c r="L301" s="15">
        <v>29237.0</v>
      </c>
      <c r="M301" s="13">
        <v>16702.0</v>
      </c>
      <c r="N301" s="7"/>
      <c r="O301" s="7"/>
      <c r="P301" s="7">
        <v>13.33</v>
      </c>
      <c r="Q301" s="7"/>
      <c r="R301" s="20"/>
      <c r="S301" s="7"/>
      <c r="T301" s="20"/>
      <c r="U301" s="16">
        <f>SUM(Template!$N301:$O301)*Template!$P301+Template!$Q301</f>
        <v>0</v>
      </c>
      <c r="V301" s="17" t="str">
        <f>IF(Template!$M301="CONSELHO","N",IF(Template!$AA301="N","N1",IF(Template!$AA301="N1","N2",IF(Template!$AA301="N2","N3",IF(Template!$AA301="N3","N4",IF(Template!$AA301="N4","N5",IF(Template!$AA301="N5","N6",IF(Template!$AA301="N6","N7",IF(Template!$AA301="N7","N8",IF(Template!$AA301="N8","N9",IF(Template!$AA301="N9","N10","NA")))))))))))</f>
        <v>N4</v>
      </c>
      <c r="W301" s="17">
        <f>COUNTIF(Template!$M$3:$M$619,Template!$D301)</f>
        <v>0</v>
      </c>
      <c r="X301" s="17" t="str">
        <f>IF(Template!$F301="","",SUMIF(Template!$M$3:$M$619,Template!$D301,Template!$AC$3:$AC$619))</f>
        <v/>
      </c>
      <c r="Y301" s="17" t="str">
        <f>IFERROR(VLOOKUP(Template!$M301,Template!$D$3:$G$619,MATCH("EmployeeJobTitle",Template!$D$2:$G$2,0),FALSE),"NA")</f>
        <v>GERENTE DE LOJA</v>
      </c>
      <c r="Z301" s="17" t="str">
        <f>IFERROR(VLOOKUP(Template!$M301,Template!$D$3:$G$619,MATCH("EmployeeGroup",Template!$D$2:$G$2,0),FALSE),"NA")</f>
        <v>GERENTE</v>
      </c>
      <c r="AA301" s="17" t="str">
        <f>IFERROR(VLOOKUP(Template!$M301,Template!$D$3:$V$619,MATCH("Layer",Template!$D$2:$V$2,0),FALSE),"NA")</f>
        <v>N3</v>
      </c>
      <c r="AB301" s="21">
        <f>VLOOKUP(Template!$M301,Template!$D$3:$F$619,MATCH("InternalGrade",Template!$D$2:$F$2,0),FALSE)-Template!$F301</f>
        <v>0</v>
      </c>
      <c r="AC301" s="17">
        <f>IF(Template!$AB301&lt;=1, 0.8,IF(Template!$AB301=2,0.4,IF(Template!$AB301=3,0.2,IF(Template!$AB301=4,0.1,IF(Template!$AB301&gt;=5,0.05,"erro")))))</f>
        <v>0.8</v>
      </c>
      <c r="AD301" s="17" t="b">
        <f>Template!$D301=Template!$M301</f>
        <v>0</v>
      </c>
      <c r="AE301" s="12" t="s">
        <v>58</v>
      </c>
    </row>
    <row r="302" ht="15.75" customHeight="1">
      <c r="A302" s="7" t="s">
        <v>190</v>
      </c>
      <c r="B302" s="7" t="s">
        <v>160</v>
      </c>
      <c r="C302" s="7" t="s">
        <v>229</v>
      </c>
      <c r="D302" s="13">
        <v>22553.0</v>
      </c>
      <c r="E302" s="7" t="s">
        <v>193</v>
      </c>
      <c r="F302" s="13"/>
      <c r="G302" s="14" t="s">
        <v>63</v>
      </c>
      <c r="H302" s="7" t="s">
        <v>230</v>
      </c>
      <c r="I302" s="7" t="s">
        <v>231</v>
      </c>
      <c r="J302" s="7" t="s">
        <v>70</v>
      </c>
      <c r="K302" s="15">
        <v>44882.0</v>
      </c>
      <c r="L302" s="15">
        <v>28634.0</v>
      </c>
      <c r="M302" s="13">
        <v>15184.0</v>
      </c>
      <c r="N302" s="7"/>
      <c r="O302" s="7"/>
      <c r="P302" s="7">
        <v>13.33</v>
      </c>
      <c r="Q302" s="7"/>
      <c r="R302" s="20"/>
      <c r="S302" s="7"/>
      <c r="T302" s="20"/>
      <c r="U302" s="16">
        <f>SUM(Template!$N302:$O302)*Template!$P302+Template!$Q302</f>
        <v>0</v>
      </c>
      <c r="V302" s="17" t="str">
        <f>IF(Template!$M302="CONSELHO","N",IF(Template!$AA302="N","N1",IF(Template!$AA302="N1","N2",IF(Template!$AA302="N2","N3",IF(Template!$AA302="N3","N4",IF(Template!$AA302="N4","N5",IF(Template!$AA302="N5","N6",IF(Template!$AA302="N6","N7",IF(Template!$AA302="N7","N8",IF(Template!$AA302="N8","N9",IF(Template!$AA302="N9","N10","NA")))))))))))</f>
        <v>N4</v>
      </c>
      <c r="W302" s="17">
        <f>COUNTIF(Template!$M$3:$M$619,Template!$D302)</f>
        <v>0</v>
      </c>
      <c r="X302" s="17" t="str">
        <f>IF(Template!$F302="","",SUMIF(Template!$M$3:$M$619,Template!$D302,Template!$AC$3:$AC$619))</f>
        <v/>
      </c>
      <c r="Y302" s="17" t="str">
        <f>IFERROR(VLOOKUP(Template!$M302,Template!$D$3:$G$619,MATCH("EmployeeJobTitle",Template!$D$2:$G$2,0),FALSE),"NA")</f>
        <v>GERENTE DE LOJA</v>
      </c>
      <c r="Z302" s="17" t="str">
        <f>IFERROR(VLOOKUP(Template!$M302,Template!$D$3:$G$619,MATCH("EmployeeGroup",Template!$D$2:$G$2,0),FALSE),"NA")</f>
        <v>GERENTE</v>
      </c>
      <c r="AA302" s="17" t="str">
        <f>IFERROR(VLOOKUP(Template!$M302,Template!$D$3:$V$619,MATCH("Layer",Template!$D$2:$V$2,0),FALSE),"NA")</f>
        <v>N3</v>
      </c>
      <c r="AB302" s="21">
        <f>VLOOKUP(Template!$M302,Template!$D$3:$F$619,MATCH("InternalGrade",Template!$D$2:$F$2,0),FALSE)-Template!$F302</f>
        <v>0</v>
      </c>
      <c r="AC302" s="17">
        <f>IF(Template!$AB302&lt;=1, 0.8,IF(Template!$AB302=2,0.4,IF(Template!$AB302=3,0.2,IF(Template!$AB302=4,0.1,IF(Template!$AB302&gt;=5,0.05,"erro")))))</f>
        <v>0.8</v>
      </c>
      <c r="AD302" s="17" t="b">
        <f>Template!$D302=Template!$M302</f>
        <v>0</v>
      </c>
      <c r="AE302" s="12" t="s">
        <v>58</v>
      </c>
    </row>
    <row r="303" ht="15.75" customHeight="1">
      <c r="A303" s="7" t="s">
        <v>190</v>
      </c>
      <c r="B303" s="7" t="s">
        <v>160</v>
      </c>
      <c r="C303" s="7" t="s">
        <v>229</v>
      </c>
      <c r="D303" s="13">
        <v>22551.0</v>
      </c>
      <c r="E303" s="7" t="s">
        <v>193</v>
      </c>
      <c r="F303" s="13"/>
      <c r="G303" s="14" t="s">
        <v>63</v>
      </c>
      <c r="H303" s="7" t="s">
        <v>230</v>
      </c>
      <c r="I303" s="7" t="s">
        <v>231</v>
      </c>
      <c r="J303" s="7" t="s">
        <v>70</v>
      </c>
      <c r="K303" s="15">
        <v>44882.0</v>
      </c>
      <c r="L303" s="15">
        <v>33047.0</v>
      </c>
      <c r="M303" s="13">
        <v>15184.0</v>
      </c>
      <c r="N303" s="7"/>
      <c r="O303" s="7"/>
      <c r="P303" s="7">
        <v>13.33</v>
      </c>
      <c r="Q303" s="7"/>
      <c r="R303" s="20"/>
      <c r="S303" s="7"/>
      <c r="T303" s="20"/>
      <c r="U303" s="16">
        <f>SUM(Template!$N303:$O303)*Template!$P303+Template!$Q303</f>
        <v>0</v>
      </c>
      <c r="V303" s="17" t="str">
        <f>IF(Template!$M303="CONSELHO","N",IF(Template!$AA303="N","N1",IF(Template!$AA303="N1","N2",IF(Template!$AA303="N2","N3",IF(Template!$AA303="N3","N4",IF(Template!$AA303="N4","N5",IF(Template!$AA303="N5","N6",IF(Template!$AA303="N6","N7",IF(Template!$AA303="N7","N8",IF(Template!$AA303="N8","N9",IF(Template!$AA303="N9","N10","NA")))))))))))</f>
        <v>N4</v>
      </c>
      <c r="W303" s="17">
        <f>COUNTIF(Template!$M$3:$M$619,Template!$D303)</f>
        <v>0</v>
      </c>
      <c r="X303" s="17" t="str">
        <f>IF(Template!$F303="","",SUMIF(Template!$M$3:$M$619,Template!$D303,Template!$AC$3:$AC$619))</f>
        <v/>
      </c>
      <c r="Y303" s="17" t="str">
        <f>IFERROR(VLOOKUP(Template!$M303,Template!$D$3:$G$619,MATCH("EmployeeJobTitle",Template!$D$2:$G$2,0),FALSE),"NA")</f>
        <v>GERENTE DE LOJA</v>
      </c>
      <c r="Z303" s="17" t="str">
        <f>IFERROR(VLOOKUP(Template!$M303,Template!$D$3:$G$619,MATCH("EmployeeGroup",Template!$D$2:$G$2,0),FALSE),"NA")</f>
        <v>GERENTE</v>
      </c>
      <c r="AA303" s="17" t="str">
        <f>IFERROR(VLOOKUP(Template!$M303,Template!$D$3:$V$619,MATCH("Layer",Template!$D$2:$V$2,0),FALSE),"NA")</f>
        <v>N3</v>
      </c>
      <c r="AB303" s="21">
        <f>VLOOKUP(Template!$M303,Template!$D$3:$F$619,MATCH("InternalGrade",Template!$D$2:$F$2,0),FALSE)-Template!$F303</f>
        <v>0</v>
      </c>
      <c r="AC303" s="17">
        <f>IF(Template!$AB303&lt;=1, 0.8,IF(Template!$AB303=2,0.4,IF(Template!$AB303=3,0.2,IF(Template!$AB303=4,0.1,IF(Template!$AB303&gt;=5,0.05,"erro")))))</f>
        <v>0.8</v>
      </c>
      <c r="AD303" s="17" t="b">
        <f>Template!$D303=Template!$M303</f>
        <v>0</v>
      </c>
      <c r="AE303" s="12" t="s">
        <v>58</v>
      </c>
    </row>
    <row r="304" ht="15.75" customHeight="1">
      <c r="A304" s="7" t="s">
        <v>190</v>
      </c>
      <c r="B304" s="7" t="s">
        <v>160</v>
      </c>
      <c r="C304" s="7" t="s">
        <v>229</v>
      </c>
      <c r="D304" s="13">
        <v>24266.0</v>
      </c>
      <c r="E304" s="7" t="s">
        <v>198</v>
      </c>
      <c r="F304" s="13"/>
      <c r="G304" s="14" t="s">
        <v>63</v>
      </c>
      <c r="H304" s="7" t="s">
        <v>230</v>
      </c>
      <c r="I304" s="7" t="s">
        <v>231</v>
      </c>
      <c r="J304" s="7" t="s">
        <v>70</v>
      </c>
      <c r="K304" s="15">
        <v>45170.0</v>
      </c>
      <c r="L304" s="15">
        <v>38187.0</v>
      </c>
      <c r="M304" s="13">
        <v>15184.0</v>
      </c>
      <c r="N304" s="7">
        <v>1639.0</v>
      </c>
      <c r="O304" s="7"/>
      <c r="P304" s="7">
        <v>13.33</v>
      </c>
      <c r="Q304" s="7"/>
      <c r="R304" s="20"/>
      <c r="S304" s="7"/>
      <c r="T304" s="20"/>
      <c r="U304" s="16">
        <f>SUM(Template!$N304:$O304)*Template!$P304+Template!$Q304</f>
        <v>21847.87</v>
      </c>
      <c r="V304" s="17" t="str">
        <f>IF(Template!$M304="CONSELHO","N",IF(Template!$AA304="N","N1",IF(Template!$AA304="N1","N2",IF(Template!$AA304="N2","N3",IF(Template!$AA304="N3","N4",IF(Template!$AA304="N4","N5",IF(Template!$AA304="N5","N6",IF(Template!$AA304="N6","N7",IF(Template!$AA304="N7","N8",IF(Template!$AA304="N8","N9",IF(Template!$AA304="N9","N10","NA")))))))))))</f>
        <v>N4</v>
      </c>
      <c r="W304" s="17">
        <f>COUNTIF(Template!$M$3:$M$619,Template!$D304)</f>
        <v>0</v>
      </c>
      <c r="X304" s="17" t="str">
        <f>IF(Template!$F304="","",SUMIF(Template!$M$3:$M$619,Template!$D304,Template!$AC$3:$AC$619))</f>
        <v/>
      </c>
      <c r="Y304" s="17" t="str">
        <f>IFERROR(VLOOKUP(Template!$M304,Template!$D$3:$G$619,MATCH("EmployeeJobTitle",Template!$D$2:$G$2,0),FALSE),"NA")</f>
        <v>GERENTE DE LOJA</v>
      </c>
      <c r="Z304" s="17" t="str">
        <f>IFERROR(VLOOKUP(Template!$M304,Template!$D$3:$G$619,MATCH("EmployeeGroup",Template!$D$2:$G$2,0),FALSE),"NA")</f>
        <v>GERENTE</v>
      </c>
      <c r="AA304" s="17" t="str">
        <f>IFERROR(VLOOKUP(Template!$M304,Template!$D$3:$V$619,MATCH("Layer",Template!$D$2:$V$2,0),FALSE),"NA")</f>
        <v>N3</v>
      </c>
      <c r="AB304" s="21">
        <f>VLOOKUP(Template!$M304,Template!$D$3:$F$619,MATCH("InternalGrade",Template!$D$2:$F$2,0),FALSE)-Template!$F304</f>
        <v>0</v>
      </c>
      <c r="AC304" s="17">
        <f>IF(Template!$AB304&lt;=1, 0.8,IF(Template!$AB304=2,0.4,IF(Template!$AB304=3,0.2,IF(Template!$AB304=4,0.1,IF(Template!$AB304&gt;=5,0.05,"erro")))))</f>
        <v>0.8</v>
      </c>
      <c r="AD304" s="17" t="b">
        <f>Template!$D304=Template!$M304</f>
        <v>0</v>
      </c>
      <c r="AE304" s="12" t="s">
        <v>58</v>
      </c>
    </row>
    <row r="305" ht="15.75" customHeight="1">
      <c r="A305" s="7" t="s">
        <v>190</v>
      </c>
      <c r="B305" s="7" t="s">
        <v>160</v>
      </c>
      <c r="C305" s="7" t="s">
        <v>229</v>
      </c>
      <c r="D305" s="13">
        <v>24584.0</v>
      </c>
      <c r="E305" s="7" t="s">
        <v>193</v>
      </c>
      <c r="F305" s="13"/>
      <c r="G305" s="14" t="s">
        <v>63</v>
      </c>
      <c r="H305" s="7" t="s">
        <v>230</v>
      </c>
      <c r="I305" s="7" t="s">
        <v>231</v>
      </c>
      <c r="J305" s="7" t="s">
        <v>70</v>
      </c>
      <c r="K305" s="15">
        <v>45239.0</v>
      </c>
      <c r="L305" s="15">
        <v>30486.0</v>
      </c>
      <c r="M305" s="13">
        <v>15184.0</v>
      </c>
      <c r="N305" s="7"/>
      <c r="O305" s="7"/>
      <c r="P305" s="7">
        <v>13.33</v>
      </c>
      <c r="Q305" s="7"/>
      <c r="R305" s="20"/>
      <c r="S305" s="7"/>
      <c r="T305" s="20"/>
      <c r="U305" s="16">
        <f>SUM(Template!$N305:$O305)*Template!$P305+Template!$Q305</f>
        <v>0</v>
      </c>
      <c r="V305" s="17" t="str">
        <f>IF(Template!$M305="CONSELHO","N",IF(Template!$AA305="N","N1",IF(Template!$AA305="N1","N2",IF(Template!$AA305="N2","N3",IF(Template!$AA305="N3","N4",IF(Template!$AA305="N4","N5",IF(Template!$AA305="N5","N6",IF(Template!$AA305="N6","N7",IF(Template!$AA305="N7","N8",IF(Template!$AA305="N8","N9",IF(Template!$AA305="N9","N10","NA")))))))))))</f>
        <v>N4</v>
      </c>
      <c r="W305" s="17">
        <f>COUNTIF(Template!$M$3:$M$619,Template!$D305)</f>
        <v>0</v>
      </c>
      <c r="X305" s="17" t="str">
        <f>IF(Template!$F305="","",SUMIF(Template!$M$3:$M$619,Template!$D305,Template!$AC$3:$AC$619))</f>
        <v/>
      </c>
      <c r="Y305" s="17" t="str">
        <f>IFERROR(VLOOKUP(Template!$M305,Template!$D$3:$G$619,MATCH("EmployeeJobTitle",Template!$D$2:$G$2,0),FALSE),"NA")</f>
        <v>GERENTE DE LOJA</v>
      </c>
      <c r="Z305" s="17" t="str">
        <f>IFERROR(VLOOKUP(Template!$M305,Template!$D$3:$G$619,MATCH("EmployeeGroup",Template!$D$2:$G$2,0),FALSE),"NA")</f>
        <v>GERENTE</v>
      </c>
      <c r="AA305" s="17" t="str">
        <f>IFERROR(VLOOKUP(Template!$M305,Template!$D$3:$V$619,MATCH("Layer",Template!$D$2:$V$2,0),FALSE),"NA")</f>
        <v>N3</v>
      </c>
      <c r="AB305" s="21">
        <f>VLOOKUP(Template!$M305,Template!$D$3:$F$619,MATCH("InternalGrade",Template!$D$2:$F$2,0),FALSE)-Template!$F305</f>
        <v>0</v>
      </c>
      <c r="AC305" s="17">
        <f>IF(Template!$AB305&lt;=1, 0.8,IF(Template!$AB305=2,0.4,IF(Template!$AB305=3,0.2,IF(Template!$AB305=4,0.1,IF(Template!$AB305&gt;=5,0.05,"erro")))))</f>
        <v>0.8</v>
      </c>
      <c r="AD305" s="17" t="b">
        <f>Template!$D305=Template!$M305</f>
        <v>0</v>
      </c>
      <c r="AE305" s="12" t="s">
        <v>58</v>
      </c>
    </row>
    <row r="306" ht="15.75" customHeight="1">
      <c r="A306" s="7" t="s">
        <v>190</v>
      </c>
      <c r="B306" s="7" t="s">
        <v>160</v>
      </c>
      <c r="C306" s="7" t="s">
        <v>229</v>
      </c>
      <c r="D306" s="13">
        <v>19933.0</v>
      </c>
      <c r="E306" s="7" t="s">
        <v>193</v>
      </c>
      <c r="F306" s="13"/>
      <c r="G306" s="14" t="s">
        <v>63</v>
      </c>
      <c r="H306" s="7" t="s">
        <v>230</v>
      </c>
      <c r="I306" s="7" t="s">
        <v>231</v>
      </c>
      <c r="J306" s="7" t="s">
        <v>70</v>
      </c>
      <c r="K306" s="15">
        <v>44516.0</v>
      </c>
      <c r="L306" s="15">
        <v>36581.0</v>
      </c>
      <c r="M306" s="13">
        <v>15184.0</v>
      </c>
      <c r="N306" s="7"/>
      <c r="O306" s="7"/>
      <c r="P306" s="7">
        <v>13.33</v>
      </c>
      <c r="Q306" s="7"/>
      <c r="R306" s="20"/>
      <c r="S306" s="7"/>
      <c r="T306" s="20"/>
      <c r="U306" s="16">
        <f>SUM(Template!$N306:$O306)*Template!$P306+Template!$Q306</f>
        <v>0</v>
      </c>
      <c r="V306" s="17" t="str">
        <f>IF(Template!$M306="CONSELHO","N",IF(Template!$AA306="N","N1",IF(Template!$AA306="N1","N2",IF(Template!$AA306="N2","N3",IF(Template!$AA306="N3","N4",IF(Template!$AA306="N4","N5",IF(Template!$AA306="N5","N6",IF(Template!$AA306="N6","N7",IF(Template!$AA306="N7","N8",IF(Template!$AA306="N8","N9",IF(Template!$AA306="N9","N10","NA")))))))))))</f>
        <v>N4</v>
      </c>
      <c r="W306" s="17">
        <f>COUNTIF(Template!$M$3:$M$619,Template!$D306)</f>
        <v>0</v>
      </c>
      <c r="X306" s="17" t="str">
        <f>IF(Template!$F306="","",SUMIF(Template!$M$3:$M$619,Template!$D306,Template!$AC$3:$AC$619))</f>
        <v/>
      </c>
      <c r="Y306" s="17" t="str">
        <f>IFERROR(VLOOKUP(Template!$M306,Template!$D$3:$G$619,MATCH("EmployeeJobTitle",Template!$D$2:$G$2,0),FALSE),"NA")</f>
        <v>GERENTE DE LOJA</v>
      </c>
      <c r="Z306" s="17" t="str">
        <f>IFERROR(VLOOKUP(Template!$M306,Template!$D$3:$G$619,MATCH("EmployeeGroup",Template!$D$2:$G$2,0),FALSE),"NA")</f>
        <v>GERENTE</v>
      </c>
      <c r="AA306" s="17" t="str">
        <f>IFERROR(VLOOKUP(Template!$M306,Template!$D$3:$V$619,MATCH("Layer",Template!$D$2:$V$2,0),FALSE),"NA")</f>
        <v>N3</v>
      </c>
      <c r="AB306" s="21">
        <f>VLOOKUP(Template!$M306,Template!$D$3:$F$619,MATCH("InternalGrade",Template!$D$2:$F$2,0),FALSE)-Template!$F306</f>
        <v>0</v>
      </c>
      <c r="AC306" s="17">
        <f>IF(Template!$AB306&lt;=1, 0.8,IF(Template!$AB306=2,0.4,IF(Template!$AB306=3,0.2,IF(Template!$AB306=4,0.1,IF(Template!$AB306&gt;=5,0.05,"erro")))))</f>
        <v>0.8</v>
      </c>
      <c r="AD306" s="17" t="b">
        <f>Template!$D306=Template!$M306</f>
        <v>0</v>
      </c>
      <c r="AE306" s="12" t="s">
        <v>58</v>
      </c>
    </row>
    <row r="307" ht="15.75" customHeight="1">
      <c r="A307" s="7" t="s">
        <v>190</v>
      </c>
      <c r="B307" s="7" t="s">
        <v>160</v>
      </c>
      <c r="C307" s="7" t="s">
        <v>229</v>
      </c>
      <c r="D307" s="13">
        <v>20659.0</v>
      </c>
      <c r="E307" s="7" t="s">
        <v>193</v>
      </c>
      <c r="F307" s="13"/>
      <c r="G307" s="14" t="s">
        <v>63</v>
      </c>
      <c r="H307" s="7" t="s">
        <v>230</v>
      </c>
      <c r="I307" s="7" t="s">
        <v>231</v>
      </c>
      <c r="J307" s="7" t="s">
        <v>70</v>
      </c>
      <c r="K307" s="15">
        <v>44725.0</v>
      </c>
      <c r="L307" s="15">
        <v>36785.0</v>
      </c>
      <c r="M307" s="13">
        <v>15184.0</v>
      </c>
      <c r="N307" s="7"/>
      <c r="O307" s="7"/>
      <c r="P307" s="7">
        <v>13.33</v>
      </c>
      <c r="Q307" s="7"/>
      <c r="R307" s="20"/>
      <c r="S307" s="7"/>
      <c r="T307" s="20"/>
      <c r="U307" s="16">
        <f>SUM(Template!$N307:$O307)*Template!$P307+Template!$Q307</f>
        <v>0</v>
      </c>
      <c r="V307" s="17" t="str">
        <f>IF(Template!$M307="CONSELHO","N",IF(Template!$AA307="N","N1",IF(Template!$AA307="N1","N2",IF(Template!$AA307="N2","N3",IF(Template!$AA307="N3","N4",IF(Template!$AA307="N4","N5",IF(Template!$AA307="N5","N6",IF(Template!$AA307="N6","N7",IF(Template!$AA307="N7","N8",IF(Template!$AA307="N8","N9",IF(Template!$AA307="N9","N10","NA")))))))))))</f>
        <v>N4</v>
      </c>
      <c r="W307" s="17">
        <f>COUNTIF(Template!$M$3:$M$619,Template!$D307)</f>
        <v>0</v>
      </c>
      <c r="X307" s="17" t="str">
        <f>IF(Template!$F307="","",SUMIF(Template!$M$3:$M$619,Template!$D307,Template!$AC$3:$AC$619))</f>
        <v/>
      </c>
      <c r="Y307" s="17" t="str">
        <f>IFERROR(VLOOKUP(Template!$M307,Template!$D$3:$G$619,MATCH("EmployeeJobTitle",Template!$D$2:$G$2,0),FALSE),"NA")</f>
        <v>GERENTE DE LOJA</v>
      </c>
      <c r="Z307" s="17" t="str">
        <f>IFERROR(VLOOKUP(Template!$M307,Template!$D$3:$G$619,MATCH("EmployeeGroup",Template!$D$2:$G$2,0),FALSE),"NA")</f>
        <v>GERENTE</v>
      </c>
      <c r="AA307" s="17" t="str">
        <f>IFERROR(VLOOKUP(Template!$M307,Template!$D$3:$V$619,MATCH("Layer",Template!$D$2:$V$2,0),FALSE),"NA")</f>
        <v>N3</v>
      </c>
      <c r="AB307" s="21">
        <f>VLOOKUP(Template!$M307,Template!$D$3:$F$619,MATCH("InternalGrade",Template!$D$2:$F$2,0),FALSE)-Template!$F307</f>
        <v>0</v>
      </c>
      <c r="AC307" s="17">
        <f>IF(Template!$AB307&lt;=1, 0.8,IF(Template!$AB307=2,0.4,IF(Template!$AB307=3,0.2,IF(Template!$AB307=4,0.1,IF(Template!$AB307&gt;=5,0.05,"erro")))))</f>
        <v>0.8</v>
      </c>
      <c r="AD307" s="17" t="b">
        <f>Template!$D307=Template!$M307</f>
        <v>0</v>
      </c>
      <c r="AE307" s="12" t="s">
        <v>58</v>
      </c>
    </row>
    <row r="308" ht="15.75" customHeight="1">
      <c r="A308" s="7" t="s">
        <v>190</v>
      </c>
      <c r="B308" s="7" t="s">
        <v>160</v>
      </c>
      <c r="C308" s="7" t="s">
        <v>229</v>
      </c>
      <c r="D308" s="13">
        <v>14438.0</v>
      </c>
      <c r="E308" s="7" t="s">
        <v>197</v>
      </c>
      <c r="F308" s="13"/>
      <c r="G308" s="22" t="s">
        <v>87</v>
      </c>
      <c r="H308" s="7" t="s">
        <v>230</v>
      </c>
      <c r="I308" s="7" t="s">
        <v>231</v>
      </c>
      <c r="J308" s="7" t="s">
        <v>70</v>
      </c>
      <c r="K308" s="15">
        <v>42233.0</v>
      </c>
      <c r="L308" s="15">
        <v>27238.0</v>
      </c>
      <c r="M308" s="13">
        <v>15184.0</v>
      </c>
      <c r="N308" s="7"/>
      <c r="O308" s="7"/>
      <c r="P308" s="7">
        <v>13.33</v>
      </c>
      <c r="Q308" s="7"/>
      <c r="R308" s="20"/>
      <c r="S308" s="7"/>
      <c r="T308" s="20"/>
      <c r="U308" s="16">
        <f>SUM(Template!$N308:$O308)*Template!$P308+Template!$Q308</f>
        <v>0</v>
      </c>
      <c r="V308" s="17" t="str">
        <f>IF(Template!$M308="CONSELHO","N",IF(Template!$AA308="N","N1",IF(Template!$AA308="N1","N2",IF(Template!$AA308="N2","N3",IF(Template!$AA308="N3","N4",IF(Template!$AA308="N4","N5",IF(Template!$AA308="N5","N6",IF(Template!$AA308="N6","N7",IF(Template!$AA308="N7","N8",IF(Template!$AA308="N8","N9",IF(Template!$AA308="N9","N10","NA")))))))))))</f>
        <v>N4</v>
      </c>
      <c r="W308" s="17">
        <f>COUNTIF(Template!$M$3:$M$619,Template!$D308)</f>
        <v>0</v>
      </c>
      <c r="X308" s="17" t="str">
        <f>IF(Template!$F308="","",SUMIF(Template!$M$3:$M$619,Template!$D308,Template!$AC$3:$AC$619))</f>
        <v/>
      </c>
      <c r="Y308" s="17" t="str">
        <f>IFERROR(VLOOKUP(Template!$M308,Template!$D$3:$G$619,MATCH("EmployeeJobTitle",Template!$D$2:$G$2,0),FALSE),"NA")</f>
        <v>GERENTE DE LOJA</v>
      </c>
      <c r="Z308" s="17" t="str">
        <f>IFERROR(VLOOKUP(Template!$M308,Template!$D$3:$G$619,MATCH("EmployeeGroup",Template!$D$2:$G$2,0),FALSE),"NA")</f>
        <v>GERENTE</v>
      </c>
      <c r="AA308" s="17" t="str">
        <f>IFERROR(VLOOKUP(Template!$M308,Template!$D$3:$V$619,MATCH("Layer",Template!$D$2:$V$2,0),FALSE),"NA")</f>
        <v>N3</v>
      </c>
      <c r="AB308" s="21">
        <f>VLOOKUP(Template!$M308,Template!$D$3:$F$619,MATCH("InternalGrade",Template!$D$2:$F$2,0),FALSE)-Template!$F308</f>
        <v>0</v>
      </c>
      <c r="AC308" s="17">
        <f>IF(Template!$AB308&lt;=1, 0.8,IF(Template!$AB308=2,0.4,IF(Template!$AB308=3,0.2,IF(Template!$AB308=4,0.1,IF(Template!$AB308&gt;=5,0.05,"erro")))))</f>
        <v>0.8</v>
      </c>
      <c r="AD308" s="17" t="b">
        <f>Template!$D308=Template!$M308</f>
        <v>0</v>
      </c>
      <c r="AE308" s="12" t="s">
        <v>58</v>
      </c>
    </row>
    <row r="309" ht="15.75" customHeight="1">
      <c r="A309" s="7" t="s">
        <v>190</v>
      </c>
      <c r="B309" s="7" t="s">
        <v>160</v>
      </c>
      <c r="C309" s="7" t="s">
        <v>229</v>
      </c>
      <c r="D309" s="13">
        <v>18836.0</v>
      </c>
      <c r="E309" s="7" t="s">
        <v>193</v>
      </c>
      <c r="F309" s="13"/>
      <c r="G309" s="14" t="s">
        <v>63</v>
      </c>
      <c r="H309" s="7" t="s">
        <v>230</v>
      </c>
      <c r="I309" s="7" t="s">
        <v>231</v>
      </c>
      <c r="J309" s="7" t="s">
        <v>70</v>
      </c>
      <c r="K309" s="15">
        <v>44138.0</v>
      </c>
      <c r="L309" s="15">
        <v>33512.0</v>
      </c>
      <c r="M309" s="13">
        <v>15184.0</v>
      </c>
      <c r="N309" s="7"/>
      <c r="O309" s="7"/>
      <c r="P309" s="7">
        <v>13.33</v>
      </c>
      <c r="Q309" s="7"/>
      <c r="R309" s="20"/>
      <c r="S309" s="7"/>
      <c r="T309" s="20"/>
      <c r="U309" s="16">
        <f>SUM(Template!$N309:$O309)*Template!$P309+Template!$Q309</f>
        <v>0</v>
      </c>
      <c r="V309" s="17" t="str">
        <f>IF(Template!$M309="CONSELHO","N",IF(Template!$AA309="N","N1",IF(Template!$AA309="N1","N2",IF(Template!$AA309="N2","N3",IF(Template!$AA309="N3","N4",IF(Template!$AA309="N4","N5",IF(Template!$AA309="N5","N6",IF(Template!$AA309="N6","N7",IF(Template!$AA309="N7","N8",IF(Template!$AA309="N8","N9",IF(Template!$AA309="N9","N10","NA")))))))))))</f>
        <v>N4</v>
      </c>
      <c r="W309" s="17">
        <f>COUNTIF(Template!$M$3:$M$619,Template!$D309)</f>
        <v>0</v>
      </c>
      <c r="X309" s="17" t="str">
        <f>IF(Template!$F309="","",SUMIF(Template!$M$3:$M$619,Template!$D309,Template!$AC$3:$AC$619))</f>
        <v/>
      </c>
      <c r="Y309" s="17" t="str">
        <f>IFERROR(VLOOKUP(Template!$M309,Template!$D$3:$G$619,MATCH("EmployeeJobTitle",Template!$D$2:$G$2,0),FALSE),"NA")</f>
        <v>GERENTE DE LOJA</v>
      </c>
      <c r="Z309" s="17" t="str">
        <f>IFERROR(VLOOKUP(Template!$M309,Template!$D$3:$G$619,MATCH("EmployeeGroup",Template!$D$2:$G$2,0),FALSE),"NA")</f>
        <v>GERENTE</v>
      </c>
      <c r="AA309" s="17" t="str">
        <f>IFERROR(VLOOKUP(Template!$M309,Template!$D$3:$V$619,MATCH("Layer",Template!$D$2:$V$2,0),FALSE),"NA")</f>
        <v>N3</v>
      </c>
      <c r="AB309" s="21">
        <f>VLOOKUP(Template!$M309,Template!$D$3:$F$619,MATCH("InternalGrade",Template!$D$2:$F$2,0),FALSE)-Template!$F309</f>
        <v>0</v>
      </c>
      <c r="AC309" s="17">
        <f>IF(Template!$AB309&lt;=1, 0.8,IF(Template!$AB309=2,0.4,IF(Template!$AB309=3,0.2,IF(Template!$AB309=4,0.1,IF(Template!$AB309&gt;=5,0.05,"erro")))))</f>
        <v>0.8</v>
      </c>
      <c r="AD309" s="17" t="b">
        <f>Template!$D309=Template!$M309</f>
        <v>0</v>
      </c>
      <c r="AE309" s="12" t="s">
        <v>58</v>
      </c>
    </row>
    <row r="310" ht="15.75" customHeight="1">
      <c r="A310" s="7" t="s">
        <v>190</v>
      </c>
      <c r="B310" s="7" t="s">
        <v>160</v>
      </c>
      <c r="C310" s="7" t="s">
        <v>229</v>
      </c>
      <c r="D310" s="13">
        <v>12931.0</v>
      </c>
      <c r="E310" s="7" t="s">
        <v>207</v>
      </c>
      <c r="F310" s="13"/>
      <c r="G310" s="14" t="s">
        <v>63</v>
      </c>
      <c r="H310" s="7" t="s">
        <v>230</v>
      </c>
      <c r="I310" s="7" t="s">
        <v>231</v>
      </c>
      <c r="J310" s="7" t="s">
        <v>70</v>
      </c>
      <c r="K310" s="15">
        <v>41561.0</v>
      </c>
      <c r="L310" s="15">
        <v>25800.0</v>
      </c>
      <c r="M310" s="13">
        <v>15184.0</v>
      </c>
      <c r="N310" s="7">
        <v>1639.0</v>
      </c>
      <c r="O310" s="7"/>
      <c r="P310" s="7">
        <v>13.33</v>
      </c>
      <c r="Q310" s="7"/>
      <c r="R310" s="20"/>
      <c r="S310" s="7"/>
      <c r="T310" s="20"/>
      <c r="U310" s="16">
        <f>SUM(Template!$N310:$O310)*Template!$P310+Template!$Q310</f>
        <v>21847.87</v>
      </c>
      <c r="V310" s="17" t="str">
        <f>IF(Template!$M310="CONSELHO","N",IF(Template!$AA310="N","N1",IF(Template!$AA310="N1","N2",IF(Template!$AA310="N2","N3",IF(Template!$AA310="N3","N4",IF(Template!$AA310="N4","N5",IF(Template!$AA310="N5","N6",IF(Template!$AA310="N6","N7",IF(Template!$AA310="N7","N8",IF(Template!$AA310="N8","N9",IF(Template!$AA310="N9","N10","NA")))))))))))</f>
        <v>N4</v>
      </c>
      <c r="W310" s="17">
        <f>COUNTIF(Template!$M$3:$M$619,Template!$D310)</f>
        <v>0</v>
      </c>
      <c r="X310" s="17" t="str">
        <f>IF(Template!$F310="","",SUMIF(Template!$M$3:$M$619,Template!$D310,Template!$AC$3:$AC$619))</f>
        <v/>
      </c>
      <c r="Y310" s="17" t="str">
        <f>IFERROR(VLOOKUP(Template!$M310,Template!$D$3:$G$619,MATCH("EmployeeJobTitle",Template!$D$2:$G$2,0),FALSE),"NA")</f>
        <v>GERENTE DE LOJA</v>
      </c>
      <c r="Z310" s="17" t="str">
        <f>IFERROR(VLOOKUP(Template!$M310,Template!$D$3:$G$619,MATCH("EmployeeGroup",Template!$D$2:$G$2,0),FALSE),"NA")</f>
        <v>GERENTE</v>
      </c>
      <c r="AA310" s="17" t="str">
        <f>IFERROR(VLOOKUP(Template!$M310,Template!$D$3:$V$619,MATCH("Layer",Template!$D$2:$V$2,0),FALSE),"NA")</f>
        <v>N3</v>
      </c>
      <c r="AB310" s="21">
        <f>VLOOKUP(Template!$M310,Template!$D$3:$F$619,MATCH("InternalGrade",Template!$D$2:$F$2,0),FALSE)-Template!$F310</f>
        <v>0</v>
      </c>
      <c r="AC310" s="17">
        <f>IF(Template!$AB310&lt;=1, 0.8,IF(Template!$AB310=2,0.4,IF(Template!$AB310=3,0.2,IF(Template!$AB310=4,0.1,IF(Template!$AB310&gt;=5,0.05,"erro")))))</f>
        <v>0.8</v>
      </c>
      <c r="AD310" s="17" t="b">
        <f>Template!$D310=Template!$M310</f>
        <v>0</v>
      </c>
      <c r="AE310" s="12" t="s">
        <v>58</v>
      </c>
    </row>
    <row r="311" ht="15.75" customHeight="1">
      <c r="A311" s="7" t="s">
        <v>190</v>
      </c>
      <c r="B311" s="7" t="s">
        <v>160</v>
      </c>
      <c r="C311" s="7" t="s">
        <v>229</v>
      </c>
      <c r="D311" s="13">
        <v>24420.0</v>
      </c>
      <c r="E311" s="7" t="s">
        <v>193</v>
      </c>
      <c r="F311" s="13"/>
      <c r="G311" s="14" t="s">
        <v>63</v>
      </c>
      <c r="H311" s="7" t="s">
        <v>230</v>
      </c>
      <c r="I311" s="7" t="s">
        <v>231</v>
      </c>
      <c r="J311" s="7" t="s">
        <v>70</v>
      </c>
      <c r="K311" s="15">
        <v>45236.0</v>
      </c>
      <c r="L311" s="15">
        <v>35070.0</v>
      </c>
      <c r="M311" s="13">
        <v>15184.0</v>
      </c>
      <c r="N311" s="7"/>
      <c r="O311" s="7"/>
      <c r="P311" s="7">
        <v>13.33</v>
      </c>
      <c r="Q311" s="7"/>
      <c r="R311" s="20"/>
      <c r="S311" s="7"/>
      <c r="T311" s="20"/>
      <c r="U311" s="16">
        <f>SUM(Template!$N311:$O311)*Template!$P311+Template!$Q311</f>
        <v>0</v>
      </c>
      <c r="V311" s="17" t="str">
        <f>IF(Template!$M311="CONSELHO","N",IF(Template!$AA311="N","N1",IF(Template!$AA311="N1","N2",IF(Template!$AA311="N2","N3",IF(Template!$AA311="N3","N4",IF(Template!$AA311="N4","N5",IF(Template!$AA311="N5","N6",IF(Template!$AA311="N6","N7",IF(Template!$AA311="N7","N8",IF(Template!$AA311="N8","N9",IF(Template!$AA311="N9","N10","NA")))))))))))</f>
        <v>N4</v>
      </c>
      <c r="W311" s="17">
        <f>COUNTIF(Template!$M$3:$M$619,Template!$D311)</f>
        <v>0</v>
      </c>
      <c r="X311" s="17" t="str">
        <f>IF(Template!$F311="","",SUMIF(Template!$M$3:$M$619,Template!$D311,Template!$AC$3:$AC$619))</f>
        <v/>
      </c>
      <c r="Y311" s="17" t="str">
        <f>IFERROR(VLOOKUP(Template!$M311,Template!$D$3:$G$619,MATCH("EmployeeJobTitle",Template!$D$2:$G$2,0),FALSE),"NA")</f>
        <v>GERENTE DE LOJA</v>
      </c>
      <c r="Z311" s="17" t="str">
        <f>IFERROR(VLOOKUP(Template!$M311,Template!$D$3:$G$619,MATCH("EmployeeGroup",Template!$D$2:$G$2,0),FALSE),"NA")</f>
        <v>GERENTE</v>
      </c>
      <c r="AA311" s="17" t="str">
        <f>IFERROR(VLOOKUP(Template!$M311,Template!$D$3:$V$619,MATCH("Layer",Template!$D$2:$V$2,0),FALSE),"NA")</f>
        <v>N3</v>
      </c>
      <c r="AB311" s="21">
        <f>VLOOKUP(Template!$M311,Template!$D$3:$F$619,MATCH("InternalGrade",Template!$D$2:$F$2,0),FALSE)-Template!$F311</f>
        <v>0</v>
      </c>
      <c r="AC311" s="17">
        <f>IF(Template!$AB311&lt;=1, 0.8,IF(Template!$AB311=2,0.4,IF(Template!$AB311=3,0.2,IF(Template!$AB311=4,0.1,IF(Template!$AB311&gt;=5,0.05,"erro")))))</f>
        <v>0.8</v>
      </c>
      <c r="AD311" s="17" t="b">
        <f>Template!$D311=Template!$M311</f>
        <v>0</v>
      </c>
      <c r="AE311" s="12" t="s">
        <v>58</v>
      </c>
    </row>
    <row r="312" ht="15.75" customHeight="1">
      <c r="A312" s="7" t="s">
        <v>190</v>
      </c>
      <c r="B312" s="7" t="s">
        <v>160</v>
      </c>
      <c r="C312" s="7" t="s">
        <v>229</v>
      </c>
      <c r="D312" s="13">
        <v>25306.0</v>
      </c>
      <c r="E312" s="7" t="s">
        <v>193</v>
      </c>
      <c r="F312" s="13"/>
      <c r="G312" s="14" t="s">
        <v>63</v>
      </c>
      <c r="H312" s="7" t="s">
        <v>230</v>
      </c>
      <c r="I312" s="7" t="s">
        <v>231</v>
      </c>
      <c r="J312" s="7" t="s">
        <v>70</v>
      </c>
      <c r="K312" s="15">
        <v>45516.0</v>
      </c>
      <c r="L312" s="15">
        <v>30399.0</v>
      </c>
      <c r="M312" s="13">
        <v>15184.0</v>
      </c>
      <c r="N312" s="7"/>
      <c r="O312" s="7"/>
      <c r="P312" s="7">
        <v>13.33</v>
      </c>
      <c r="Q312" s="7"/>
      <c r="R312" s="20"/>
      <c r="S312" s="7"/>
      <c r="T312" s="20"/>
      <c r="U312" s="16">
        <f>SUM(Template!$N312:$O312)*Template!$P312+Template!$Q312</f>
        <v>0</v>
      </c>
      <c r="V312" s="17" t="str">
        <f>IF(Template!$M312="CONSELHO","N",IF(Template!$AA312="N","N1",IF(Template!$AA312="N1","N2",IF(Template!$AA312="N2","N3",IF(Template!$AA312="N3","N4",IF(Template!$AA312="N4","N5",IF(Template!$AA312="N5","N6",IF(Template!$AA312="N6","N7",IF(Template!$AA312="N7","N8",IF(Template!$AA312="N8","N9",IF(Template!$AA312="N9","N10","NA")))))))))))</f>
        <v>N4</v>
      </c>
      <c r="W312" s="17">
        <f>COUNTIF(Template!$M$3:$M$619,Template!$D312)</f>
        <v>0</v>
      </c>
      <c r="X312" s="17" t="str">
        <f>IF(Template!$F312="","",SUMIF(Template!$M$3:$M$619,Template!$D312,Template!$AC$3:$AC$619))</f>
        <v/>
      </c>
      <c r="Y312" s="17" t="str">
        <f>IFERROR(VLOOKUP(Template!$M312,Template!$D$3:$G$619,MATCH("EmployeeJobTitle",Template!$D$2:$G$2,0),FALSE),"NA")</f>
        <v>GERENTE DE LOJA</v>
      </c>
      <c r="Z312" s="17" t="str">
        <f>IFERROR(VLOOKUP(Template!$M312,Template!$D$3:$G$619,MATCH("EmployeeGroup",Template!$D$2:$G$2,0),FALSE),"NA")</f>
        <v>GERENTE</v>
      </c>
      <c r="AA312" s="17" t="str">
        <f>IFERROR(VLOOKUP(Template!$M312,Template!$D$3:$V$619,MATCH("Layer",Template!$D$2:$V$2,0),FALSE),"NA")</f>
        <v>N3</v>
      </c>
      <c r="AB312" s="21">
        <f>VLOOKUP(Template!$M312,Template!$D$3:$F$619,MATCH("InternalGrade",Template!$D$2:$F$2,0),FALSE)-Template!$F312</f>
        <v>0</v>
      </c>
      <c r="AC312" s="17">
        <f>IF(Template!$AB312&lt;=1, 0.8,IF(Template!$AB312=2,0.4,IF(Template!$AB312=3,0.2,IF(Template!$AB312=4,0.1,IF(Template!$AB312&gt;=5,0.05,"erro")))))</f>
        <v>0.8</v>
      </c>
      <c r="AD312" s="17" t="b">
        <f>Template!$D312=Template!$M312</f>
        <v>0</v>
      </c>
      <c r="AE312" s="12" t="s">
        <v>58</v>
      </c>
    </row>
    <row r="313" ht="15.75" customHeight="1">
      <c r="A313" s="7" t="s">
        <v>190</v>
      </c>
      <c r="B313" s="7" t="s">
        <v>160</v>
      </c>
      <c r="C313" s="7" t="s">
        <v>229</v>
      </c>
      <c r="D313" s="13">
        <v>18781.0</v>
      </c>
      <c r="E313" s="7" t="s">
        <v>203</v>
      </c>
      <c r="F313" s="13"/>
      <c r="G313" s="14" t="s">
        <v>63</v>
      </c>
      <c r="H313" s="7" t="s">
        <v>230</v>
      </c>
      <c r="I313" s="7" t="s">
        <v>231</v>
      </c>
      <c r="J313" s="7" t="s">
        <v>70</v>
      </c>
      <c r="K313" s="15">
        <v>44117.0</v>
      </c>
      <c r="L313" s="15">
        <v>34816.0</v>
      </c>
      <c r="M313" s="13">
        <v>15184.0</v>
      </c>
      <c r="N313" s="7"/>
      <c r="O313" s="7"/>
      <c r="P313" s="7">
        <v>13.33</v>
      </c>
      <c r="Q313" s="7"/>
      <c r="R313" s="20"/>
      <c r="S313" s="7"/>
      <c r="T313" s="20"/>
      <c r="U313" s="16">
        <f>SUM(Template!$N313:$O313)*Template!$P313+Template!$Q313</f>
        <v>0</v>
      </c>
      <c r="V313" s="17" t="str">
        <f>IF(Template!$M313="CONSELHO","N",IF(Template!$AA313="N","N1",IF(Template!$AA313="N1","N2",IF(Template!$AA313="N2","N3",IF(Template!$AA313="N3","N4",IF(Template!$AA313="N4","N5",IF(Template!$AA313="N5","N6",IF(Template!$AA313="N6","N7",IF(Template!$AA313="N7","N8",IF(Template!$AA313="N8","N9",IF(Template!$AA313="N9","N10","NA")))))))))))</f>
        <v>N4</v>
      </c>
      <c r="W313" s="17">
        <f>COUNTIF(Template!$M$3:$M$619,Template!$D313)</f>
        <v>0</v>
      </c>
      <c r="X313" s="17" t="str">
        <f>IF(Template!$F313="","",SUMIF(Template!$M$3:$M$619,Template!$D313,Template!$AC$3:$AC$619))</f>
        <v/>
      </c>
      <c r="Y313" s="17" t="str">
        <f>IFERROR(VLOOKUP(Template!$M313,Template!$D$3:$G$619,MATCH("EmployeeJobTitle",Template!$D$2:$G$2,0),FALSE),"NA")</f>
        <v>GERENTE DE LOJA</v>
      </c>
      <c r="Z313" s="17" t="str">
        <f>IFERROR(VLOOKUP(Template!$M313,Template!$D$3:$G$619,MATCH("EmployeeGroup",Template!$D$2:$G$2,0),FALSE),"NA")</f>
        <v>GERENTE</v>
      </c>
      <c r="AA313" s="17" t="str">
        <f>IFERROR(VLOOKUP(Template!$M313,Template!$D$3:$V$619,MATCH("Layer",Template!$D$2:$V$2,0),FALSE),"NA")</f>
        <v>N3</v>
      </c>
      <c r="AB313" s="21">
        <f>VLOOKUP(Template!$M313,Template!$D$3:$F$619,MATCH("InternalGrade",Template!$D$2:$F$2,0),FALSE)-Template!$F313</f>
        <v>0</v>
      </c>
      <c r="AC313" s="17">
        <f>IF(Template!$AB313&lt;=1, 0.8,IF(Template!$AB313=2,0.4,IF(Template!$AB313=3,0.2,IF(Template!$AB313=4,0.1,IF(Template!$AB313&gt;=5,0.05,"erro")))))</f>
        <v>0.8</v>
      </c>
      <c r="AD313" s="17" t="b">
        <f>Template!$D313=Template!$M313</f>
        <v>0</v>
      </c>
      <c r="AE313" s="12" t="s">
        <v>58</v>
      </c>
    </row>
    <row r="314" ht="15.75" customHeight="1">
      <c r="A314" s="7" t="s">
        <v>190</v>
      </c>
      <c r="B314" s="7" t="s">
        <v>160</v>
      </c>
      <c r="C314" s="7" t="s">
        <v>229</v>
      </c>
      <c r="D314" s="13">
        <v>19581.0</v>
      </c>
      <c r="E314" s="7" t="s">
        <v>196</v>
      </c>
      <c r="F314" s="13"/>
      <c r="G314" s="14" t="s">
        <v>63</v>
      </c>
      <c r="H314" s="7" t="s">
        <v>230</v>
      </c>
      <c r="I314" s="7" t="s">
        <v>231</v>
      </c>
      <c r="J314" s="7" t="s">
        <v>70</v>
      </c>
      <c r="K314" s="15">
        <v>44348.0</v>
      </c>
      <c r="L314" s="15">
        <v>32983.0</v>
      </c>
      <c r="M314" s="13">
        <v>15184.0</v>
      </c>
      <c r="N314" s="7">
        <v>2058.0</v>
      </c>
      <c r="O314" s="7"/>
      <c r="P314" s="7">
        <v>13.33</v>
      </c>
      <c r="Q314" s="7"/>
      <c r="R314" s="20"/>
      <c r="S314" s="7"/>
      <c r="T314" s="20"/>
      <c r="U314" s="16">
        <f>SUM(Template!$N314:$O314)*Template!$P314+Template!$Q314</f>
        <v>27433.14</v>
      </c>
      <c r="V314" s="17" t="str">
        <f>IF(Template!$M314="CONSELHO","N",IF(Template!$AA314="N","N1",IF(Template!$AA314="N1","N2",IF(Template!$AA314="N2","N3",IF(Template!$AA314="N3","N4",IF(Template!$AA314="N4","N5",IF(Template!$AA314="N5","N6",IF(Template!$AA314="N6","N7",IF(Template!$AA314="N7","N8",IF(Template!$AA314="N8","N9",IF(Template!$AA314="N9","N10","NA")))))))))))</f>
        <v>N4</v>
      </c>
      <c r="W314" s="17">
        <f>COUNTIF(Template!$M$3:$M$619,Template!$D314)</f>
        <v>0</v>
      </c>
      <c r="X314" s="17" t="str">
        <f>IF(Template!$F314="","",SUMIF(Template!$M$3:$M$619,Template!$D314,Template!$AC$3:$AC$619))</f>
        <v/>
      </c>
      <c r="Y314" s="17" t="str">
        <f>IFERROR(VLOOKUP(Template!$M314,Template!$D$3:$G$619,MATCH("EmployeeJobTitle",Template!$D$2:$G$2,0),FALSE),"NA")</f>
        <v>GERENTE DE LOJA</v>
      </c>
      <c r="Z314" s="17" t="str">
        <f>IFERROR(VLOOKUP(Template!$M314,Template!$D$3:$G$619,MATCH("EmployeeGroup",Template!$D$2:$G$2,0),FALSE),"NA")</f>
        <v>GERENTE</v>
      </c>
      <c r="AA314" s="17" t="str">
        <f>IFERROR(VLOOKUP(Template!$M314,Template!$D$3:$V$619,MATCH("Layer",Template!$D$2:$V$2,0),FALSE),"NA")</f>
        <v>N3</v>
      </c>
      <c r="AB314" s="21">
        <f>VLOOKUP(Template!$M314,Template!$D$3:$F$619,MATCH("InternalGrade",Template!$D$2:$F$2,0),FALSE)-Template!$F314</f>
        <v>0</v>
      </c>
      <c r="AC314" s="17">
        <f>IF(Template!$AB314&lt;=1, 0.8,IF(Template!$AB314=2,0.4,IF(Template!$AB314=3,0.2,IF(Template!$AB314=4,0.1,IF(Template!$AB314&gt;=5,0.05,"erro")))))</f>
        <v>0.8</v>
      </c>
      <c r="AD314" s="17" t="b">
        <f>Template!$D314=Template!$M314</f>
        <v>0</v>
      </c>
      <c r="AE314" s="12" t="s">
        <v>58</v>
      </c>
    </row>
    <row r="315" ht="15.75" customHeight="1">
      <c r="A315" s="7" t="s">
        <v>190</v>
      </c>
      <c r="B315" s="7" t="s">
        <v>160</v>
      </c>
      <c r="C315" s="7" t="s">
        <v>229</v>
      </c>
      <c r="D315" s="13">
        <v>19717.0</v>
      </c>
      <c r="E315" s="7" t="s">
        <v>196</v>
      </c>
      <c r="F315" s="13"/>
      <c r="G315" s="14" t="s">
        <v>63</v>
      </c>
      <c r="H315" s="7" t="s">
        <v>230</v>
      </c>
      <c r="I315" s="7" t="s">
        <v>231</v>
      </c>
      <c r="J315" s="7" t="s">
        <v>70</v>
      </c>
      <c r="K315" s="15">
        <v>44410.0</v>
      </c>
      <c r="L315" s="15">
        <v>28807.0</v>
      </c>
      <c r="M315" s="13">
        <v>15184.0</v>
      </c>
      <c r="N315" s="7">
        <v>2021.0</v>
      </c>
      <c r="O315" s="7"/>
      <c r="P315" s="7">
        <v>13.33</v>
      </c>
      <c r="Q315" s="7"/>
      <c r="R315" s="20"/>
      <c r="S315" s="7"/>
      <c r="T315" s="20"/>
      <c r="U315" s="16">
        <f>SUM(Template!$N315:$O315)*Template!$P315+Template!$Q315</f>
        <v>26939.93</v>
      </c>
      <c r="V315" s="17" t="str">
        <f>IF(Template!$M315="CONSELHO","N",IF(Template!$AA315="N","N1",IF(Template!$AA315="N1","N2",IF(Template!$AA315="N2","N3",IF(Template!$AA315="N3","N4",IF(Template!$AA315="N4","N5",IF(Template!$AA315="N5","N6",IF(Template!$AA315="N6","N7",IF(Template!$AA315="N7","N8",IF(Template!$AA315="N8","N9",IF(Template!$AA315="N9","N10","NA")))))))))))</f>
        <v>N4</v>
      </c>
      <c r="W315" s="17">
        <f>COUNTIF(Template!$M$3:$M$619,Template!$D315)</f>
        <v>0</v>
      </c>
      <c r="X315" s="17" t="str">
        <f>IF(Template!$F315="","",SUMIF(Template!$M$3:$M$619,Template!$D315,Template!$AC$3:$AC$619))</f>
        <v/>
      </c>
      <c r="Y315" s="17" t="str">
        <f>IFERROR(VLOOKUP(Template!$M315,Template!$D$3:$G$619,MATCH("EmployeeJobTitle",Template!$D$2:$G$2,0),FALSE),"NA")</f>
        <v>GERENTE DE LOJA</v>
      </c>
      <c r="Z315" s="17" t="str">
        <f>IFERROR(VLOOKUP(Template!$M315,Template!$D$3:$G$619,MATCH("EmployeeGroup",Template!$D$2:$G$2,0),FALSE),"NA")</f>
        <v>GERENTE</v>
      </c>
      <c r="AA315" s="17" t="str">
        <f>IFERROR(VLOOKUP(Template!$M315,Template!$D$3:$V$619,MATCH("Layer",Template!$D$2:$V$2,0),FALSE),"NA")</f>
        <v>N3</v>
      </c>
      <c r="AB315" s="21">
        <f>VLOOKUP(Template!$M315,Template!$D$3:$F$619,MATCH("InternalGrade",Template!$D$2:$F$2,0),FALSE)-Template!$F315</f>
        <v>0</v>
      </c>
      <c r="AC315" s="17">
        <f>IF(Template!$AB315&lt;=1, 0.8,IF(Template!$AB315=2,0.4,IF(Template!$AB315=3,0.2,IF(Template!$AB315=4,0.1,IF(Template!$AB315&gt;=5,0.05,"erro")))))</f>
        <v>0.8</v>
      </c>
      <c r="AD315" s="17" t="b">
        <f>Template!$D315=Template!$M315</f>
        <v>0</v>
      </c>
      <c r="AE315" s="12" t="s">
        <v>58</v>
      </c>
    </row>
    <row r="316" ht="15.75" customHeight="1">
      <c r="A316" s="7" t="s">
        <v>190</v>
      </c>
      <c r="B316" s="7" t="s">
        <v>160</v>
      </c>
      <c r="C316" s="7" t="s">
        <v>229</v>
      </c>
      <c r="D316" s="13">
        <v>19409.0</v>
      </c>
      <c r="E316" s="7" t="s">
        <v>193</v>
      </c>
      <c r="F316" s="13"/>
      <c r="G316" s="14" t="s">
        <v>63</v>
      </c>
      <c r="H316" s="7" t="s">
        <v>230</v>
      </c>
      <c r="I316" s="7" t="s">
        <v>231</v>
      </c>
      <c r="J316" s="7" t="s">
        <v>70</v>
      </c>
      <c r="K316" s="15">
        <v>44245.0</v>
      </c>
      <c r="L316" s="15">
        <v>25076.0</v>
      </c>
      <c r="M316" s="13">
        <v>15184.0</v>
      </c>
      <c r="N316" s="7"/>
      <c r="O316" s="7"/>
      <c r="P316" s="7">
        <v>13.33</v>
      </c>
      <c r="Q316" s="7"/>
      <c r="R316" s="20"/>
      <c r="S316" s="7"/>
      <c r="T316" s="20"/>
      <c r="U316" s="16">
        <f>SUM(Template!$N316:$O316)*Template!$P316+Template!$Q316</f>
        <v>0</v>
      </c>
      <c r="V316" s="17" t="str">
        <f>IF(Template!$M316="CONSELHO","N",IF(Template!$AA316="N","N1",IF(Template!$AA316="N1","N2",IF(Template!$AA316="N2","N3",IF(Template!$AA316="N3","N4",IF(Template!$AA316="N4","N5",IF(Template!$AA316="N5","N6",IF(Template!$AA316="N6","N7",IF(Template!$AA316="N7","N8",IF(Template!$AA316="N8","N9",IF(Template!$AA316="N9","N10","NA")))))))))))</f>
        <v>N4</v>
      </c>
      <c r="W316" s="17">
        <f>COUNTIF(Template!$M$3:$M$619,Template!$D316)</f>
        <v>0</v>
      </c>
      <c r="X316" s="17" t="str">
        <f>IF(Template!$F316="","",SUMIF(Template!$M$3:$M$619,Template!$D316,Template!$AC$3:$AC$619))</f>
        <v/>
      </c>
      <c r="Y316" s="17" t="str">
        <f>IFERROR(VLOOKUP(Template!$M316,Template!$D$3:$G$619,MATCH("EmployeeJobTitle",Template!$D$2:$G$2,0),FALSE),"NA")</f>
        <v>GERENTE DE LOJA</v>
      </c>
      <c r="Z316" s="17" t="str">
        <f>IFERROR(VLOOKUP(Template!$M316,Template!$D$3:$G$619,MATCH("EmployeeGroup",Template!$D$2:$G$2,0),FALSE),"NA")</f>
        <v>GERENTE</v>
      </c>
      <c r="AA316" s="17" t="str">
        <f>IFERROR(VLOOKUP(Template!$M316,Template!$D$3:$V$619,MATCH("Layer",Template!$D$2:$V$2,0),FALSE),"NA")</f>
        <v>N3</v>
      </c>
      <c r="AB316" s="21">
        <f>VLOOKUP(Template!$M316,Template!$D$3:$F$619,MATCH("InternalGrade",Template!$D$2:$F$2,0),FALSE)-Template!$F316</f>
        <v>0</v>
      </c>
      <c r="AC316" s="17">
        <f>IF(Template!$AB316&lt;=1, 0.8,IF(Template!$AB316=2,0.4,IF(Template!$AB316=3,0.2,IF(Template!$AB316=4,0.1,IF(Template!$AB316&gt;=5,0.05,"erro")))))</f>
        <v>0.8</v>
      </c>
      <c r="AD316" s="17" t="b">
        <f>Template!$D316=Template!$M316</f>
        <v>0</v>
      </c>
      <c r="AE316" s="12" t="s">
        <v>58</v>
      </c>
    </row>
    <row r="317" ht="15.75" customHeight="1">
      <c r="A317" s="7" t="s">
        <v>190</v>
      </c>
      <c r="B317" s="7" t="s">
        <v>160</v>
      </c>
      <c r="C317" s="7" t="s">
        <v>229</v>
      </c>
      <c r="D317" s="13">
        <v>19410.0</v>
      </c>
      <c r="E317" s="7" t="s">
        <v>203</v>
      </c>
      <c r="F317" s="13"/>
      <c r="G317" s="14" t="s">
        <v>63</v>
      </c>
      <c r="H317" s="7" t="s">
        <v>230</v>
      </c>
      <c r="I317" s="7" t="s">
        <v>231</v>
      </c>
      <c r="J317" s="7" t="s">
        <v>70</v>
      </c>
      <c r="K317" s="15">
        <v>44245.0</v>
      </c>
      <c r="L317" s="15">
        <v>32621.0</v>
      </c>
      <c r="M317" s="13">
        <v>15184.0</v>
      </c>
      <c r="N317" s="7"/>
      <c r="O317" s="7"/>
      <c r="P317" s="7">
        <v>13.33</v>
      </c>
      <c r="Q317" s="7"/>
      <c r="R317" s="20"/>
      <c r="S317" s="7"/>
      <c r="T317" s="20"/>
      <c r="U317" s="16">
        <f>SUM(Template!$N317:$O317)*Template!$P317+Template!$Q317</f>
        <v>0</v>
      </c>
      <c r="V317" s="17" t="str">
        <f>IF(Template!$M317="CONSELHO","N",IF(Template!$AA317="N","N1",IF(Template!$AA317="N1","N2",IF(Template!$AA317="N2","N3",IF(Template!$AA317="N3","N4",IF(Template!$AA317="N4","N5",IF(Template!$AA317="N5","N6",IF(Template!$AA317="N6","N7",IF(Template!$AA317="N7","N8",IF(Template!$AA317="N8","N9",IF(Template!$AA317="N9","N10","NA")))))))))))</f>
        <v>N4</v>
      </c>
      <c r="W317" s="17">
        <f>COUNTIF(Template!$M$3:$M$619,Template!$D317)</f>
        <v>0</v>
      </c>
      <c r="X317" s="17" t="str">
        <f>IF(Template!$F317="","",SUMIF(Template!$M$3:$M$619,Template!$D317,Template!$AC$3:$AC$619))</f>
        <v/>
      </c>
      <c r="Y317" s="17" t="str">
        <f>IFERROR(VLOOKUP(Template!$M317,Template!$D$3:$G$619,MATCH("EmployeeJobTitle",Template!$D$2:$G$2,0),FALSE),"NA")</f>
        <v>GERENTE DE LOJA</v>
      </c>
      <c r="Z317" s="17" t="str">
        <f>IFERROR(VLOOKUP(Template!$M317,Template!$D$3:$G$619,MATCH("EmployeeGroup",Template!$D$2:$G$2,0),FALSE),"NA")</f>
        <v>GERENTE</v>
      </c>
      <c r="AA317" s="17" t="str">
        <f>IFERROR(VLOOKUP(Template!$M317,Template!$D$3:$V$619,MATCH("Layer",Template!$D$2:$V$2,0),FALSE),"NA")</f>
        <v>N3</v>
      </c>
      <c r="AB317" s="21">
        <f>VLOOKUP(Template!$M317,Template!$D$3:$F$619,MATCH("InternalGrade",Template!$D$2:$F$2,0),FALSE)-Template!$F317</f>
        <v>0</v>
      </c>
      <c r="AC317" s="17">
        <f>IF(Template!$AB317&lt;=1, 0.8,IF(Template!$AB317=2,0.4,IF(Template!$AB317=3,0.2,IF(Template!$AB317=4,0.1,IF(Template!$AB317&gt;=5,0.05,"erro")))))</f>
        <v>0.8</v>
      </c>
      <c r="AD317" s="17" t="b">
        <f>Template!$D317=Template!$M317</f>
        <v>0</v>
      </c>
      <c r="AE317" s="12" t="s">
        <v>58</v>
      </c>
    </row>
    <row r="318" ht="15.75" customHeight="1">
      <c r="A318" s="7" t="s">
        <v>190</v>
      </c>
      <c r="B318" s="7" t="s">
        <v>160</v>
      </c>
      <c r="C318" s="7" t="s">
        <v>229</v>
      </c>
      <c r="D318" s="13">
        <v>15184.0</v>
      </c>
      <c r="E318" s="7" t="s">
        <v>199</v>
      </c>
      <c r="F318" s="13"/>
      <c r="G318" s="22" t="s">
        <v>200</v>
      </c>
      <c r="H318" s="7" t="s">
        <v>230</v>
      </c>
      <c r="I318" s="7" t="s">
        <v>231</v>
      </c>
      <c r="J318" s="7" t="s">
        <v>70</v>
      </c>
      <c r="K318" s="15">
        <v>42573.0</v>
      </c>
      <c r="L318" s="15">
        <v>26333.0</v>
      </c>
      <c r="M318" s="13">
        <v>12404.0</v>
      </c>
      <c r="N318" s="7">
        <v>6634.0</v>
      </c>
      <c r="O318" s="7"/>
      <c r="P318" s="7">
        <v>13.33</v>
      </c>
      <c r="Q318" s="7"/>
      <c r="R318" s="20"/>
      <c r="S318" s="7"/>
      <c r="T318" s="20"/>
      <c r="U318" s="16">
        <f>SUM(Template!$N318:$O318)*Template!$P318+Template!$Q318</f>
        <v>88431.22</v>
      </c>
      <c r="V318" s="17" t="str">
        <f>IF(Template!$M318="CONSELHO","N",IF(Template!$AA318="N","N1",IF(Template!$AA318="N1","N2",IF(Template!$AA318="N2","N3",IF(Template!$AA318="N3","N4",IF(Template!$AA318="N4","N5",IF(Template!$AA318="N5","N6",IF(Template!$AA318="N6","N7",IF(Template!$AA318="N7","N8",IF(Template!$AA318="N8","N9",IF(Template!$AA318="N9","N10","NA")))))))))))</f>
        <v>N3</v>
      </c>
      <c r="W318" s="17">
        <f>COUNTIF(Template!$M$3:$M$619,Template!$D318)</f>
        <v>17</v>
      </c>
      <c r="X318" s="17" t="str">
        <f>IF(Template!$F318="","",SUMIF(Template!$M$3:$M$619,Template!$D318,Template!$AC$3:$AC$619))</f>
        <v/>
      </c>
      <c r="Y318" s="17" t="str">
        <f>IFERROR(VLOOKUP(Template!$M318,Template!$D$3:$G$619,MATCH("EmployeeJobTitle",Template!$D$2:$G$2,0),FALSE),"NA")</f>
        <v>GERENTE COMERCIAL</v>
      </c>
      <c r="Z318" s="17" t="str">
        <f>IFERROR(VLOOKUP(Template!$M318,Template!$D$3:$G$619,MATCH("EmployeeGroup",Template!$D$2:$G$2,0),FALSE),"NA")</f>
        <v>Coordenador</v>
      </c>
      <c r="AA318" s="17" t="str">
        <f>IFERROR(VLOOKUP(Template!$M318,Template!$D$3:$V$619,MATCH("Layer",Template!$D$2:$V$2,0),FALSE),"NA")</f>
        <v>N2</v>
      </c>
      <c r="AB318" s="21">
        <f>VLOOKUP(Template!$M318,Template!$D$3:$F$619,MATCH("InternalGrade",Template!$D$2:$F$2,0),FALSE)-Template!$F318</f>
        <v>19</v>
      </c>
      <c r="AC318" s="17">
        <f>IF(Template!$AB318&lt;=1, 0.8,IF(Template!$AB318=2,0.4,IF(Template!$AB318=3,0.2,IF(Template!$AB318=4,0.1,IF(Template!$AB318&gt;=5,0.05,"erro")))))</f>
        <v>0.05</v>
      </c>
      <c r="AD318" s="17" t="b">
        <f>Template!$D318=Template!$M318</f>
        <v>0</v>
      </c>
      <c r="AE318" s="12" t="s">
        <v>58</v>
      </c>
    </row>
    <row r="319" ht="15.75" customHeight="1">
      <c r="A319" s="7" t="s">
        <v>190</v>
      </c>
      <c r="B319" s="7" t="s">
        <v>160</v>
      </c>
      <c r="C319" s="7" t="s">
        <v>229</v>
      </c>
      <c r="D319" s="13">
        <v>25338.0</v>
      </c>
      <c r="E319" s="7" t="s">
        <v>201</v>
      </c>
      <c r="F319" s="13"/>
      <c r="G319" s="14" t="s">
        <v>63</v>
      </c>
      <c r="H319" s="7" t="s">
        <v>230</v>
      </c>
      <c r="I319" s="7" t="s">
        <v>231</v>
      </c>
      <c r="J319" s="7" t="s">
        <v>70</v>
      </c>
      <c r="K319" s="15">
        <v>45537.0</v>
      </c>
      <c r="L319" s="15">
        <v>37833.0</v>
      </c>
      <c r="M319" s="13">
        <v>15184.0</v>
      </c>
      <c r="N319" s="7">
        <v>995.08</v>
      </c>
      <c r="O319" s="7"/>
      <c r="P319" s="7">
        <v>13.33</v>
      </c>
      <c r="Q319" s="7"/>
      <c r="R319" s="20"/>
      <c r="S319" s="7"/>
      <c r="T319" s="20"/>
      <c r="U319" s="16">
        <f>SUM(Template!$N319:$O319)*Template!$P319+Template!$Q319</f>
        <v>13264.4164</v>
      </c>
      <c r="V319" s="17" t="str">
        <f>IF(Template!$M319="CONSELHO","N",IF(Template!$AA319="N","N1",IF(Template!$AA319="N1","N2",IF(Template!$AA319="N2","N3",IF(Template!$AA319="N3","N4",IF(Template!$AA319="N4","N5",IF(Template!$AA319="N5","N6",IF(Template!$AA319="N6","N7",IF(Template!$AA319="N7","N8",IF(Template!$AA319="N8","N9",IF(Template!$AA319="N9","N10","NA")))))))))))</f>
        <v>N4</v>
      </c>
      <c r="W319" s="17">
        <f>COUNTIF(Template!$M$3:$M$619,Template!$D319)</f>
        <v>0</v>
      </c>
      <c r="X319" s="17" t="str">
        <f>IF(Template!$F319="","",SUMIF(Template!$M$3:$M$619,Template!$D319,Template!$AC$3:$AC$619))</f>
        <v/>
      </c>
      <c r="Y319" s="17" t="str">
        <f>IFERROR(VLOOKUP(Template!$M319,Template!$D$3:$G$619,MATCH("EmployeeJobTitle",Template!$D$2:$G$2,0),FALSE),"NA")</f>
        <v>GERENTE DE LOJA</v>
      </c>
      <c r="Z319" s="17" t="str">
        <f>IFERROR(VLOOKUP(Template!$M319,Template!$D$3:$G$619,MATCH("EmployeeGroup",Template!$D$2:$G$2,0),FALSE),"NA")</f>
        <v>GERENTE</v>
      </c>
      <c r="AA319" s="17" t="str">
        <f>IFERROR(VLOOKUP(Template!$M319,Template!$D$3:$V$619,MATCH("Layer",Template!$D$2:$V$2,0),FALSE),"NA")</f>
        <v>N3</v>
      </c>
      <c r="AB319" s="21">
        <f>VLOOKUP(Template!$M319,Template!$D$3:$F$619,MATCH("InternalGrade",Template!$D$2:$F$2,0),FALSE)-Template!$F319</f>
        <v>0</v>
      </c>
      <c r="AC319" s="17">
        <f>IF(Template!$AB319&lt;=1, 0.8,IF(Template!$AB319=2,0.4,IF(Template!$AB319=3,0.2,IF(Template!$AB319=4,0.1,IF(Template!$AB319&gt;=5,0.05,"erro")))))</f>
        <v>0.8</v>
      </c>
      <c r="AD319" s="17" t="b">
        <f>Template!$D319=Template!$M319</f>
        <v>0</v>
      </c>
      <c r="AE319" s="12" t="s">
        <v>58</v>
      </c>
    </row>
    <row r="320" ht="15.75" customHeight="1">
      <c r="A320" s="7" t="s">
        <v>190</v>
      </c>
      <c r="B320" s="7" t="s">
        <v>191</v>
      </c>
      <c r="C320" s="7" t="s">
        <v>232</v>
      </c>
      <c r="D320" s="13">
        <v>20247.0</v>
      </c>
      <c r="E320" s="7" t="s">
        <v>203</v>
      </c>
      <c r="F320" s="13"/>
      <c r="G320" s="14" t="s">
        <v>63</v>
      </c>
      <c r="H320" s="7" t="s">
        <v>64</v>
      </c>
      <c r="I320" s="7" t="s">
        <v>233</v>
      </c>
      <c r="J320" s="7" t="s">
        <v>70</v>
      </c>
      <c r="K320" s="15">
        <v>44531.0</v>
      </c>
      <c r="L320" s="15">
        <v>32770.0</v>
      </c>
      <c r="M320" s="13">
        <v>18340.0</v>
      </c>
      <c r="N320" s="7"/>
      <c r="O320" s="7"/>
      <c r="P320" s="7">
        <v>13.33</v>
      </c>
      <c r="Q320" s="7"/>
      <c r="R320" s="20"/>
      <c r="S320" s="7"/>
      <c r="T320" s="20"/>
      <c r="U320" s="16">
        <f>SUM(Template!$N320:$O320)*Template!$P320+Template!$Q320</f>
        <v>0</v>
      </c>
      <c r="V320" s="17" t="str">
        <f>IF(Template!$M320="CONSELHO","N",IF(Template!$AA320="N","N1",IF(Template!$AA320="N1","N2",IF(Template!$AA320="N2","N3",IF(Template!$AA320="N3","N4",IF(Template!$AA320="N4","N5",IF(Template!$AA320="N5","N6",IF(Template!$AA320="N6","N7",IF(Template!$AA320="N7","N8",IF(Template!$AA320="N8","N9",IF(Template!$AA320="N9","N10","NA")))))))))))</f>
        <v>N4</v>
      </c>
      <c r="W320" s="17">
        <f>COUNTIF(Template!$M$3:$M$619,Template!$D320)</f>
        <v>0</v>
      </c>
      <c r="X320" s="17" t="str">
        <f>IF(Template!$F320="","",SUMIF(Template!$M$3:$M$619,Template!$D320,Template!$AC$3:$AC$619))</f>
        <v/>
      </c>
      <c r="Y320" s="17" t="str">
        <f>IFERROR(VLOOKUP(Template!$M320,Template!$D$3:$G$619,MATCH("EmployeeJobTitle",Template!$D$2:$G$2,0),FALSE),"NA")</f>
        <v>GERENTE DE LOJA</v>
      </c>
      <c r="Z320" s="17" t="str">
        <f>IFERROR(VLOOKUP(Template!$M320,Template!$D$3:$G$619,MATCH("EmployeeGroup",Template!$D$2:$G$2,0),FALSE),"NA")</f>
        <v>GERENTE</v>
      </c>
      <c r="AA320" s="17" t="str">
        <f>IFERROR(VLOOKUP(Template!$M320,Template!$D$3:$V$619,MATCH("Layer",Template!$D$2:$V$2,0),FALSE),"NA")</f>
        <v>N3</v>
      </c>
      <c r="AB320" s="21">
        <f>VLOOKUP(Template!$M320,Template!$D$3:$F$619,MATCH("InternalGrade",Template!$D$2:$F$2,0),FALSE)-Template!$F320</f>
        <v>0</v>
      </c>
      <c r="AC320" s="17">
        <f>IF(Template!$AB320&lt;=1, 0.8,IF(Template!$AB320=2,0.4,IF(Template!$AB320=3,0.2,IF(Template!$AB320=4,0.1,IF(Template!$AB320&gt;=5,0.05,"erro")))))</f>
        <v>0.8</v>
      </c>
      <c r="AD320" s="17" t="b">
        <f>Template!$D320=Template!$M320</f>
        <v>0</v>
      </c>
      <c r="AE320" s="12" t="s">
        <v>58</v>
      </c>
    </row>
    <row r="321" ht="15.75" customHeight="1">
      <c r="A321" s="7" t="s">
        <v>190</v>
      </c>
      <c r="B321" s="7" t="s">
        <v>191</v>
      </c>
      <c r="C321" s="7" t="s">
        <v>232</v>
      </c>
      <c r="D321" s="13">
        <v>20528.0</v>
      </c>
      <c r="E321" s="7" t="s">
        <v>193</v>
      </c>
      <c r="F321" s="13"/>
      <c r="G321" s="14" t="s">
        <v>63</v>
      </c>
      <c r="H321" s="7" t="s">
        <v>64</v>
      </c>
      <c r="I321" s="7" t="s">
        <v>233</v>
      </c>
      <c r="J321" s="7" t="s">
        <v>70</v>
      </c>
      <c r="K321" s="15">
        <v>44683.0</v>
      </c>
      <c r="L321" s="15">
        <v>32315.0</v>
      </c>
      <c r="M321" s="13">
        <v>18340.0</v>
      </c>
      <c r="N321" s="7"/>
      <c r="O321" s="7"/>
      <c r="P321" s="7">
        <v>13.33</v>
      </c>
      <c r="Q321" s="7"/>
      <c r="R321" s="20"/>
      <c r="S321" s="7"/>
      <c r="T321" s="20"/>
      <c r="U321" s="16">
        <f>SUM(Template!$N321:$O321)*Template!$P321+Template!$Q321</f>
        <v>0</v>
      </c>
      <c r="V321" s="17" t="str">
        <f>IF(Template!$M321="CONSELHO","N",IF(Template!$AA321="N","N1",IF(Template!$AA321="N1","N2",IF(Template!$AA321="N2","N3",IF(Template!$AA321="N3","N4",IF(Template!$AA321="N4","N5",IF(Template!$AA321="N5","N6",IF(Template!$AA321="N6","N7",IF(Template!$AA321="N7","N8",IF(Template!$AA321="N8","N9",IF(Template!$AA321="N9","N10","NA")))))))))))</f>
        <v>N4</v>
      </c>
      <c r="W321" s="17">
        <f>COUNTIF(Template!$M$3:$M$619,Template!$D321)</f>
        <v>0</v>
      </c>
      <c r="X321" s="17" t="str">
        <f>IF(Template!$F321="","",SUMIF(Template!$M$3:$M$619,Template!$D321,Template!$AC$3:$AC$619))</f>
        <v/>
      </c>
      <c r="Y321" s="17" t="str">
        <f>IFERROR(VLOOKUP(Template!$M321,Template!$D$3:$G$619,MATCH("EmployeeJobTitle",Template!$D$2:$G$2,0),FALSE),"NA")</f>
        <v>GERENTE DE LOJA</v>
      </c>
      <c r="Z321" s="17" t="str">
        <f>IFERROR(VLOOKUP(Template!$M321,Template!$D$3:$G$619,MATCH("EmployeeGroup",Template!$D$2:$G$2,0),FALSE),"NA")</f>
        <v>GERENTE</v>
      </c>
      <c r="AA321" s="17" t="str">
        <f>IFERROR(VLOOKUP(Template!$M321,Template!$D$3:$V$619,MATCH("Layer",Template!$D$2:$V$2,0),FALSE),"NA")</f>
        <v>N3</v>
      </c>
      <c r="AB321" s="21">
        <f>VLOOKUP(Template!$M321,Template!$D$3:$F$619,MATCH("InternalGrade",Template!$D$2:$F$2,0),FALSE)-Template!$F321</f>
        <v>0</v>
      </c>
      <c r="AC321" s="17">
        <f>IF(Template!$AB321&lt;=1, 0.8,IF(Template!$AB321=2,0.4,IF(Template!$AB321=3,0.2,IF(Template!$AB321=4,0.1,IF(Template!$AB321&gt;=5,0.05,"erro")))))</f>
        <v>0.8</v>
      </c>
      <c r="AD321" s="17" t="b">
        <f>Template!$D321=Template!$M321</f>
        <v>0</v>
      </c>
      <c r="AE321" s="12" t="s">
        <v>58</v>
      </c>
    </row>
    <row r="322" ht="15.75" customHeight="1">
      <c r="A322" s="7" t="s">
        <v>190</v>
      </c>
      <c r="B322" s="7" t="s">
        <v>191</v>
      </c>
      <c r="C322" s="7" t="s">
        <v>232</v>
      </c>
      <c r="D322" s="13">
        <v>18340.0</v>
      </c>
      <c r="E322" s="7" t="s">
        <v>199</v>
      </c>
      <c r="F322" s="13"/>
      <c r="G322" s="22" t="s">
        <v>200</v>
      </c>
      <c r="H322" s="7" t="s">
        <v>64</v>
      </c>
      <c r="I322" s="7" t="s">
        <v>233</v>
      </c>
      <c r="J322" s="7" t="s">
        <v>70</v>
      </c>
      <c r="K322" s="15">
        <v>43846.0</v>
      </c>
      <c r="L322" s="15">
        <v>31627.0</v>
      </c>
      <c r="M322" s="13">
        <v>23256.0</v>
      </c>
      <c r="N322" s="7">
        <v>5030.0</v>
      </c>
      <c r="O322" s="7"/>
      <c r="P322" s="7">
        <v>13.33</v>
      </c>
      <c r="Q322" s="7"/>
      <c r="R322" s="20"/>
      <c r="S322" s="7"/>
      <c r="T322" s="20"/>
      <c r="U322" s="16">
        <f>SUM(Template!$N322:$O322)*Template!$P322+Template!$Q322</f>
        <v>67049.9</v>
      </c>
      <c r="V322" s="17" t="str">
        <f>IF(Template!$M322="CONSELHO","N",IF(Template!$AA322="N","N1",IF(Template!$AA322="N1","N2",IF(Template!$AA322="N2","N3",IF(Template!$AA322="N3","N4",IF(Template!$AA322="N4","N5",IF(Template!$AA322="N5","N6",IF(Template!$AA322="N6","N7",IF(Template!$AA322="N7","N8",IF(Template!$AA322="N8","N9",IF(Template!$AA322="N9","N10","NA")))))))))))</f>
        <v>N3</v>
      </c>
      <c r="W322" s="17">
        <f>COUNTIF(Template!$M$3:$M$619,Template!$D322)</f>
        <v>7</v>
      </c>
      <c r="X322" s="17" t="str">
        <f>IF(Template!$F322="","",SUMIF(Template!$M$3:$M$619,Template!$D322,Template!$AC$3:$AC$619))</f>
        <v/>
      </c>
      <c r="Y322" s="17" t="str">
        <f>IFERROR(VLOOKUP(Template!$M322,Template!$D$3:$G$619,MATCH("EmployeeJobTitle",Template!$D$2:$G$2,0),FALSE),"NA")</f>
        <v>GERENTE COMERCIAL</v>
      </c>
      <c r="Z322" s="17" t="str">
        <f>IFERROR(VLOOKUP(Template!$M322,Template!$D$3:$G$619,MATCH("EmployeeGroup",Template!$D$2:$G$2,0),FALSE),"NA")</f>
        <v>Coordenador</v>
      </c>
      <c r="AA322" s="17" t="str">
        <f>IFERROR(VLOOKUP(Template!$M322,Template!$D$3:$V$619,MATCH("Layer",Template!$D$2:$V$2,0),FALSE),"NA")</f>
        <v>N2</v>
      </c>
      <c r="AB322" s="21">
        <f>VLOOKUP(Template!$M322,Template!$D$3:$F$619,MATCH("InternalGrade",Template!$D$2:$F$2,0),FALSE)-Template!$F322</f>
        <v>19</v>
      </c>
      <c r="AC322" s="17">
        <f>IF(Template!$AB322&lt;=1, 0.8,IF(Template!$AB322=2,0.4,IF(Template!$AB322=3,0.2,IF(Template!$AB322=4,0.1,IF(Template!$AB322&gt;=5,0.05,"erro")))))</f>
        <v>0.05</v>
      </c>
      <c r="AD322" s="17" t="b">
        <f>Template!$D322=Template!$M322</f>
        <v>0</v>
      </c>
      <c r="AE322" s="12" t="s">
        <v>58</v>
      </c>
    </row>
    <row r="323" ht="15.75" customHeight="1">
      <c r="A323" s="7" t="s">
        <v>190</v>
      </c>
      <c r="B323" s="7" t="s">
        <v>191</v>
      </c>
      <c r="C323" s="7" t="s">
        <v>232</v>
      </c>
      <c r="D323" s="13">
        <v>22658.0</v>
      </c>
      <c r="E323" s="7" t="s">
        <v>193</v>
      </c>
      <c r="F323" s="13"/>
      <c r="G323" s="14" t="s">
        <v>63</v>
      </c>
      <c r="H323" s="7" t="s">
        <v>64</v>
      </c>
      <c r="I323" s="7" t="s">
        <v>233</v>
      </c>
      <c r="J323" s="7" t="s">
        <v>70</v>
      </c>
      <c r="K323" s="15">
        <v>44882.0</v>
      </c>
      <c r="L323" s="15">
        <v>31138.0</v>
      </c>
      <c r="M323" s="13">
        <v>18340.0</v>
      </c>
      <c r="N323" s="7"/>
      <c r="O323" s="7"/>
      <c r="P323" s="7">
        <v>13.33</v>
      </c>
      <c r="Q323" s="7"/>
      <c r="R323" s="20"/>
      <c r="S323" s="7"/>
      <c r="T323" s="20"/>
      <c r="U323" s="16">
        <f>SUM(Template!$N323:$O323)*Template!$P323+Template!$Q323</f>
        <v>0</v>
      </c>
      <c r="V323" s="17" t="str">
        <f>IF(Template!$M323="CONSELHO","N",IF(Template!$AA323="N","N1",IF(Template!$AA323="N1","N2",IF(Template!$AA323="N2","N3",IF(Template!$AA323="N3","N4",IF(Template!$AA323="N4","N5",IF(Template!$AA323="N5","N6",IF(Template!$AA323="N6","N7",IF(Template!$AA323="N7","N8",IF(Template!$AA323="N8","N9",IF(Template!$AA323="N9","N10","NA")))))))))))</f>
        <v>N4</v>
      </c>
      <c r="W323" s="17">
        <f>COUNTIF(Template!$M$3:$M$619,Template!$D323)</f>
        <v>0</v>
      </c>
      <c r="X323" s="17" t="str">
        <f>IF(Template!$F323="","",SUMIF(Template!$M$3:$M$619,Template!$D323,Template!$AC$3:$AC$619))</f>
        <v/>
      </c>
      <c r="Y323" s="17" t="str">
        <f>IFERROR(VLOOKUP(Template!$M323,Template!$D$3:$G$619,MATCH("EmployeeJobTitle",Template!$D$2:$G$2,0),FALSE),"NA")</f>
        <v>GERENTE DE LOJA</v>
      </c>
      <c r="Z323" s="17" t="str">
        <f>IFERROR(VLOOKUP(Template!$M323,Template!$D$3:$G$619,MATCH("EmployeeGroup",Template!$D$2:$G$2,0),FALSE),"NA")</f>
        <v>GERENTE</v>
      </c>
      <c r="AA323" s="17" t="str">
        <f>IFERROR(VLOOKUP(Template!$M323,Template!$D$3:$V$619,MATCH("Layer",Template!$D$2:$V$2,0),FALSE),"NA")</f>
        <v>N3</v>
      </c>
      <c r="AB323" s="21">
        <f>VLOOKUP(Template!$M323,Template!$D$3:$F$619,MATCH("InternalGrade",Template!$D$2:$F$2,0),FALSE)-Template!$F323</f>
        <v>0</v>
      </c>
      <c r="AC323" s="17">
        <f>IF(Template!$AB323&lt;=1, 0.8,IF(Template!$AB323=2,0.4,IF(Template!$AB323=3,0.2,IF(Template!$AB323=4,0.1,IF(Template!$AB323&gt;=5,0.05,"erro")))))</f>
        <v>0.8</v>
      </c>
      <c r="AD323" s="17" t="b">
        <f>Template!$D323=Template!$M323</f>
        <v>0</v>
      </c>
      <c r="AE323" s="12" t="s">
        <v>58</v>
      </c>
    </row>
    <row r="324" ht="15.75" customHeight="1">
      <c r="A324" s="7" t="s">
        <v>190</v>
      </c>
      <c r="B324" s="7" t="s">
        <v>191</v>
      </c>
      <c r="C324" s="7" t="s">
        <v>232</v>
      </c>
      <c r="D324" s="13">
        <v>24383.0</v>
      </c>
      <c r="E324" s="7" t="s">
        <v>193</v>
      </c>
      <c r="F324" s="13"/>
      <c r="G324" s="14" t="s">
        <v>63</v>
      </c>
      <c r="H324" s="7" t="s">
        <v>64</v>
      </c>
      <c r="I324" s="7" t="s">
        <v>233</v>
      </c>
      <c r="J324" s="7" t="s">
        <v>70</v>
      </c>
      <c r="K324" s="15">
        <v>45215.0</v>
      </c>
      <c r="L324" s="15">
        <v>36419.0</v>
      </c>
      <c r="M324" s="13">
        <v>18340.0</v>
      </c>
      <c r="N324" s="7"/>
      <c r="O324" s="7"/>
      <c r="P324" s="7">
        <v>13.33</v>
      </c>
      <c r="Q324" s="7"/>
      <c r="R324" s="20"/>
      <c r="S324" s="7"/>
      <c r="T324" s="20"/>
      <c r="U324" s="16">
        <f>SUM(Template!$N324:$O324)*Template!$P324+Template!$Q324</f>
        <v>0</v>
      </c>
      <c r="V324" s="17" t="str">
        <f>IF(Template!$M324="CONSELHO","N",IF(Template!$AA324="N","N1",IF(Template!$AA324="N1","N2",IF(Template!$AA324="N2","N3",IF(Template!$AA324="N3","N4",IF(Template!$AA324="N4","N5",IF(Template!$AA324="N5","N6",IF(Template!$AA324="N6","N7",IF(Template!$AA324="N7","N8",IF(Template!$AA324="N8","N9",IF(Template!$AA324="N9","N10","NA")))))))))))</f>
        <v>N4</v>
      </c>
      <c r="W324" s="17">
        <f>COUNTIF(Template!$M$3:$M$619,Template!$D324)</f>
        <v>0</v>
      </c>
      <c r="X324" s="17" t="str">
        <f>IF(Template!$F324="","",SUMIF(Template!$M$3:$M$619,Template!$D324,Template!$AC$3:$AC$619))</f>
        <v/>
      </c>
      <c r="Y324" s="17" t="str">
        <f>IFERROR(VLOOKUP(Template!$M324,Template!$D$3:$G$619,MATCH("EmployeeJobTitle",Template!$D$2:$G$2,0),FALSE),"NA")</f>
        <v>GERENTE DE LOJA</v>
      </c>
      <c r="Z324" s="17" t="str">
        <f>IFERROR(VLOOKUP(Template!$M324,Template!$D$3:$G$619,MATCH("EmployeeGroup",Template!$D$2:$G$2,0),FALSE),"NA")</f>
        <v>GERENTE</v>
      </c>
      <c r="AA324" s="17" t="str">
        <f>IFERROR(VLOOKUP(Template!$M324,Template!$D$3:$V$619,MATCH("Layer",Template!$D$2:$V$2,0),FALSE),"NA")</f>
        <v>N3</v>
      </c>
      <c r="AB324" s="21">
        <f>VLOOKUP(Template!$M324,Template!$D$3:$F$619,MATCH("InternalGrade",Template!$D$2:$F$2,0),FALSE)-Template!$F324</f>
        <v>0</v>
      </c>
      <c r="AC324" s="17">
        <f>IF(Template!$AB324&lt;=1, 0.8,IF(Template!$AB324=2,0.4,IF(Template!$AB324=3,0.2,IF(Template!$AB324=4,0.1,IF(Template!$AB324&gt;=5,0.05,"erro")))))</f>
        <v>0.8</v>
      </c>
      <c r="AD324" s="17" t="b">
        <f>Template!$D324=Template!$M324</f>
        <v>0</v>
      </c>
      <c r="AE324" s="12" t="s">
        <v>58</v>
      </c>
    </row>
    <row r="325" ht="15.75" customHeight="1">
      <c r="A325" s="7" t="s">
        <v>190</v>
      </c>
      <c r="B325" s="7" t="s">
        <v>191</v>
      </c>
      <c r="C325" s="7" t="s">
        <v>232</v>
      </c>
      <c r="D325" s="13">
        <v>24942.0</v>
      </c>
      <c r="E325" s="7" t="s">
        <v>196</v>
      </c>
      <c r="F325" s="13"/>
      <c r="G325" s="14" t="s">
        <v>63</v>
      </c>
      <c r="H325" s="7" t="s">
        <v>64</v>
      </c>
      <c r="I325" s="7" t="s">
        <v>233</v>
      </c>
      <c r="J325" s="7" t="s">
        <v>70</v>
      </c>
      <c r="K325" s="15">
        <v>45372.0</v>
      </c>
      <c r="L325" s="15">
        <v>36489.0</v>
      </c>
      <c r="M325" s="13">
        <v>18340.0</v>
      </c>
      <c r="N325" s="7">
        <v>1916.0</v>
      </c>
      <c r="O325" s="7"/>
      <c r="P325" s="7">
        <v>13.33</v>
      </c>
      <c r="Q325" s="7"/>
      <c r="R325" s="20"/>
      <c r="S325" s="7"/>
      <c r="T325" s="20"/>
      <c r="U325" s="16">
        <f>SUM(Template!$N325:$O325)*Template!$P325+Template!$Q325</f>
        <v>25540.28</v>
      </c>
      <c r="V325" s="17" t="str">
        <f>IF(Template!$M325="CONSELHO","N",IF(Template!$AA325="N","N1",IF(Template!$AA325="N1","N2",IF(Template!$AA325="N2","N3",IF(Template!$AA325="N3","N4",IF(Template!$AA325="N4","N5",IF(Template!$AA325="N5","N6",IF(Template!$AA325="N6","N7",IF(Template!$AA325="N7","N8",IF(Template!$AA325="N8","N9",IF(Template!$AA325="N9","N10","NA")))))))))))</f>
        <v>N4</v>
      </c>
      <c r="W325" s="17">
        <f>COUNTIF(Template!$M$3:$M$619,Template!$D325)</f>
        <v>0</v>
      </c>
      <c r="X325" s="17" t="str">
        <f>IF(Template!$F325="","",SUMIF(Template!$M$3:$M$619,Template!$D325,Template!$AC$3:$AC$619))</f>
        <v/>
      </c>
      <c r="Y325" s="17" t="str">
        <f>IFERROR(VLOOKUP(Template!$M325,Template!$D$3:$G$619,MATCH("EmployeeJobTitle",Template!$D$2:$G$2,0),FALSE),"NA")</f>
        <v>GERENTE DE LOJA</v>
      </c>
      <c r="Z325" s="17" t="str">
        <f>IFERROR(VLOOKUP(Template!$M325,Template!$D$3:$G$619,MATCH("EmployeeGroup",Template!$D$2:$G$2,0),FALSE),"NA")</f>
        <v>GERENTE</v>
      </c>
      <c r="AA325" s="17" t="str">
        <f>IFERROR(VLOOKUP(Template!$M325,Template!$D$3:$V$619,MATCH("Layer",Template!$D$2:$V$2,0),FALSE),"NA")</f>
        <v>N3</v>
      </c>
      <c r="AB325" s="21">
        <f>VLOOKUP(Template!$M325,Template!$D$3:$F$619,MATCH("InternalGrade",Template!$D$2:$F$2,0),FALSE)-Template!$F325</f>
        <v>0</v>
      </c>
      <c r="AC325" s="17">
        <f>IF(Template!$AB325&lt;=1, 0.8,IF(Template!$AB325=2,0.4,IF(Template!$AB325=3,0.2,IF(Template!$AB325=4,0.1,IF(Template!$AB325&gt;=5,0.05,"erro")))))</f>
        <v>0.8</v>
      </c>
      <c r="AD325" s="17" t="b">
        <f>Template!$D325=Template!$M325</f>
        <v>0</v>
      </c>
      <c r="AE325" s="12" t="s">
        <v>58</v>
      </c>
    </row>
    <row r="326" ht="15.75" customHeight="1">
      <c r="A326" s="7" t="s">
        <v>190</v>
      </c>
      <c r="B326" s="7" t="s">
        <v>191</v>
      </c>
      <c r="C326" s="7" t="s">
        <v>232</v>
      </c>
      <c r="D326" s="13">
        <v>20063.0</v>
      </c>
      <c r="E326" s="7" t="s">
        <v>196</v>
      </c>
      <c r="F326" s="13"/>
      <c r="G326" s="14" t="s">
        <v>63</v>
      </c>
      <c r="H326" s="7" t="s">
        <v>64</v>
      </c>
      <c r="I326" s="7" t="s">
        <v>233</v>
      </c>
      <c r="J326" s="7" t="s">
        <v>70</v>
      </c>
      <c r="K326" s="15">
        <v>44516.0</v>
      </c>
      <c r="L326" s="15">
        <v>34596.0</v>
      </c>
      <c r="M326" s="13">
        <v>18340.0</v>
      </c>
      <c r="N326" s="7">
        <v>1916.0</v>
      </c>
      <c r="O326" s="7"/>
      <c r="P326" s="7">
        <v>13.33</v>
      </c>
      <c r="Q326" s="7"/>
      <c r="R326" s="20"/>
      <c r="S326" s="7"/>
      <c r="T326" s="20"/>
      <c r="U326" s="16">
        <f>SUM(Template!$N326:$O326)*Template!$P326+Template!$Q326</f>
        <v>25540.28</v>
      </c>
      <c r="V326" s="17" t="str">
        <f>IF(Template!$M326="CONSELHO","N",IF(Template!$AA326="N","N1",IF(Template!$AA326="N1","N2",IF(Template!$AA326="N2","N3",IF(Template!$AA326="N3","N4",IF(Template!$AA326="N4","N5",IF(Template!$AA326="N5","N6",IF(Template!$AA326="N6","N7",IF(Template!$AA326="N7","N8",IF(Template!$AA326="N8","N9",IF(Template!$AA326="N9","N10","NA")))))))))))</f>
        <v>N4</v>
      </c>
      <c r="W326" s="17">
        <f>COUNTIF(Template!$M$3:$M$619,Template!$D326)</f>
        <v>0</v>
      </c>
      <c r="X326" s="17" t="str">
        <f>IF(Template!$F326="","",SUMIF(Template!$M$3:$M$619,Template!$D326,Template!$AC$3:$AC$619))</f>
        <v/>
      </c>
      <c r="Y326" s="17" t="str">
        <f>IFERROR(VLOOKUP(Template!$M326,Template!$D$3:$G$619,MATCH("EmployeeJobTitle",Template!$D$2:$G$2,0),FALSE),"NA")</f>
        <v>GERENTE DE LOJA</v>
      </c>
      <c r="Z326" s="17" t="str">
        <f>IFERROR(VLOOKUP(Template!$M326,Template!$D$3:$G$619,MATCH("EmployeeGroup",Template!$D$2:$G$2,0),FALSE),"NA")</f>
        <v>GERENTE</v>
      </c>
      <c r="AA326" s="17" t="str">
        <f>IFERROR(VLOOKUP(Template!$M326,Template!$D$3:$V$619,MATCH("Layer",Template!$D$2:$V$2,0),FALSE),"NA")</f>
        <v>N3</v>
      </c>
      <c r="AB326" s="21">
        <f>VLOOKUP(Template!$M326,Template!$D$3:$F$619,MATCH("InternalGrade",Template!$D$2:$F$2,0),FALSE)-Template!$F326</f>
        <v>0</v>
      </c>
      <c r="AC326" s="17">
        <f>IF(Template!$AB326&lt;=1, 0.8,IF(Template!$AB326=2,0.4,IF(Template!$AB326=3,0.2,IF(Template!$AB326=4,0.1,IF(Template!$AB326&gt;=5,0.05,"erro")))))</f>
        <v>0.8</v>
      </c>
      <c r="AD326" s="17" t="b">
        <f>Template!$D326=Template!$M326</f>
        <v>0</v>
      </c>
      <c r="AE326" s="12" t="s">
        <v>58</v>
      </c>
    </row>
    <row r="327" ht="15.75" customHeight="1">
      <c r="A327" s="7" t="s">
        <v>190</v>
      </c>
      <c r="B327" s="7" t="s">
        <v>191</v>
      </c>
      <c r="C327" s="7" t="s">
        <v>232</v>
      </c>
      <c r="D327" s="13">
        <v>21627.0</v>
      </c>
      <c r="E327" s="7" t="s">
        <v>204</v>
      </c>
      <c r="F327" s="13"/>
      <c r="G327" s="14" t="s">
        <v>63</v>
      </c>
      <c r="H327" s="7" t="s">
        <v>64</v>
      </c>
      <c r="I327" s="7" t="s">
        <v>233</v>
      </c>
      <c r="J327" s="7" t="s">
        <v>70</v>
      </c>
      <c r="K327" s="15">
        <v>44805.0</v>
      </c>
      <c r="L327" s="15">
        <v>32972.0</v>
      </c>
      <c r="M327" s="13">
        <v>18340.0</v>
      </c>
      <c r="N327" s="7"/>
      <c r="O327" s="7"/>
      <c r="P327" s="7">
        <v>13.33</v>
      </c>
      <c r="Q327" s="7"/>
      <c r="R327" s="20"/>
      <c r="S327" s="7"/>
      <c r="T327" s="20"/>
      <c r="U327" s="16">
        <f>SUM(Template!$N327:$O327)*Template!$P327+Template!$Q327</f>
        <v>0</v>
      </c>
      <c r="V327" s="17" t="str">
        <f>IF(Template!$M327="CONSELHO","N",IF(Template!$AA327="N","N1",IF(Template!$AA327="N1","N2",IF(Template!$AA327="N2","N3",IF(Template!$AA327="N3","N4",IF(Template!$AA327="N4","N5",IF(Template!$AA327="N5","N6",IF(Template!$AA327="N6","N7",IF(Template!$AA327="N7","N8",IF(Template!$AA327="N8","N9",IF(Template!$AA327="N9","N10","NA")))))))))))</f>
        <v>N4</v>
      </c>
      <c r="W327" s="17">
        <f>COUNTIF(Template!$M$3:$M$619,Template!$D327)</f>
        <v>0</v>
      </c>
      <c r="X327" s="17" t="str">
        <f>IF(Template!$F327="","",SUMIF(Template!$M$3:$M$619,Template!$D327,Template!$AC$3:$AC$619))</f>
        <v/>
      </c>
      <c r="Y327" s="17" t="str">
        <f>IFERROR(VLOOKUP(Template!$M327,Template!$D$3:$G$619,MATCH("EmployeeJobTitle",Template!$D$2:$G$2,0),FALSE),"NA")</f>
        <v>GERENTE DE LOJA</v>
      </c>
      <c r="Z327" s="17" t="str">
        <f>IFERROR(VLOOKUP(Template!$M327,Template!$D$3:$G$619,MATCH("EmployeeGroup",Template!$D$2:$G$2,0),FALSE),"NA")</f>
        <v>GERENTE</v>
      </c>
      <c r="AA327" s="17" t="str">
        <f>IFERROR(VLOOKUP(Template!$M327,Template!$D$3:$V$619,MATCH("Layer",Template!$D$2:$V$2,0),FALSE),"NA")</f>
        <v>N3</v>
      </c>
      <c r="AB327" s="21">
        <f>VLOOKUP(Template!$M327,Template!$D$3:$F$619,MATCH("InternalGrade",Template!$D$2:$F$2,0),FALSE)-Template!$F327</f>
        <v>0</v>
      </c>
      <c r="AC327" s="17">
        <f>IF(Template!$AB327&lt;=1, 0.8,IF(Template!$AB327=2,0.4,IF(Template!$AB327=3,0.2,IF(Template!$AB327=4,0.1,IF(Template!$AB327&gt;=5,0.05,"erro")))))</f>
        <v>0.8</v>
      </c>
      <c r="AD327" s="17" t="b">
        <f>Template!$D327=Template!$M327</f>
        <v>0</v>
      </c>
      <c r="AE327" s="12" t="s">
        <v>58</v>
      </c>
    </row>
    <row r="328" ht="15.75" customHeight="1">
      <c r="A328" s="7" t="s">
        <v>190</v>
      </c>
      <c r="B328" s="7" t="s">
        <v>191</v>
      </c>
      <c r="C328" s="7" t="s">
        <v>234</v>
      </c>
      <c r="D328" s="13">
        <v>17169.0</v>
      </c>
      <c r="E328" s="7" t="s">
        <v>193</v>
      </c>
      <c r="F328" s="13"/>
      <c r="G328" s="14" t="s">
        <v>63</v>
      </c>
      <c r="H328" s="7" t="s">
        <v>194</v>
      </c>
      <c r="I328" s="7" t="s">
        <v>234</v>
      </c>
      <c r="J328" s="7" t="s">
        <v>70</v>
      </c>
      <c r="K328" s="15">
        <v>43416.0</v>
      </c>
      <c r="L328" s="15">
        <v>30307.0</v>
      </c>
      <c r="M328" s="13">
        <v>16707.0</v>
      </c>
      <c r="N328" s="7"/>
      <c r="O328" s="7"/>
      <c r="P328" s="7">
        <v>13.33</v>
      </c>
      <c r="Q328" s="7"/>
      <c r="R328" s="20"/>
      <c r="S328" s="7"/>
      <c r="T328" s="20"/>
      <c r="U328" s="16">
        <f>SUM(Template!$N328:$O328)*Template!$P328+Template!$Q328</f>
        <v>0</v>
      </c>
      <c r="V328" s="17" t="str">
        <f>IF(Template!$M328="CONSELHO","N",IF(Template!$AA328="N","N1",IF(Template!$AA328="N1","N2",IF(Template!$AA328="N2","N3",IF(Template!$AA328="N3","N4",IF(Template!$AA328="N4","N5",IF(Template!$AA328="N5","N6",IF(Template!$AA328="N6","N7",IF(Template!$AA328="N7","N8",IF(Template!$AA328="N8","N9",IF(Template!$AA328="N9","N10","NA")))))))))))</f>
        <v>N4</v>
      </c>
      <c r="W328" s="17">
        <f>COUNTIF(Template!$M$3:$M$619,Template!$D328)</f>
        <v>0</v>
      </c>
      <c r="X328" s="17" t="str">
        <f>IF(Template!$F328="","",SUMIF(Template!$M$3:$M$619,Template!$D328,Template!$AC$3:$AC$619))</f>
        <v/>
      </c>
      <c r="Y328" s="17" t="str">
        <f>IFERROR(VLOOKUP(Template!$M328,Template!$D$3:$G$619,MATCH("EmployeeJobTitle",Template!$D$2:$G$2,0),FALSE),"NA")</f>
        <v>GERENTE DE LOJA</v>
      </c>
      <c r="Z328" s="17" t="str">
        <f>IFERROR(VLOOKUP(Template!$M328,Template!$D$3:$G$619,MATCH("EmployeeGroup",Template!$D$2:$G$2,0),FALSE),"NA")</f>
        <v>GERENTE</v>
      </c>
      <c r="AA328" s="17" t="str">
        <f>IFERROR(VLOOKUP(Template!$M328,Template!$D$3:$V$619,MATCH("Layer",Template!$D$2:$V$2,0),FALSE),"NA")</f>
        <v>N3</v>
      </c>
      <c r="AB328" s="21">
        <f>VLOOKUP(Template!$M328,Template!$D$3:$F$619,MATCH("InternalGrade",Template!$D$2:$F$2,0),FALSE)-Template!$F328</f>
        <v>0</v>
      </c>
      <c r="AC328" s="17">
        <f>IF(Template!$AB328&lt;=1, 0.8,IF(Template!$AB328=2,0.4,IF(Template!$AB328=3,0.2,IF(Template!$AB328=4,0.1,IF(Template!$AB328&gt;=5,0.05,"erro")))))</f>
        <v>0.8</v>
      </c>
      <c r="AD328" s="17" t="b">
        <f>Template!$D328=Template!$M328</f>
        <v>0</v>
      </c>
      <c r="AE328" s="12" t="s">
        <v>58</v>
      </c>
    </row>
    <row r="329" ht="15.75" customHeight="1">
      <c r="A329" s="7" t="s">
        <v>190</v>
      </c>
      <c r="B329" s="7" t="s">
        <v>191</v>
      </c>
      <c r="C329" s="7" t="s">
        <v>234</v>
      </c>
      <c r="D329" s="13">
        <v>22966.0</v>
      </c>
      <c r="E329" s="7" t="s">
        <v>193</v>
      </c>
      <c r="F329" s="13"/>
      <c r="G329" s="14" t="s">
        <v>63</v>
      </c>
      <c r="H329" s="7" t="s">
        <v>194</v>
      </c>
      <c r="I329" s="7" t="s">
        <v>234</v>
      </c>
      <c r="J329" s="7" t="s">
        <v>70</v>
      </c>
      <c r="K329" s="15">
        <v>44896.0</v>
      </c>
      <c r="L329" s="15">
        <v>27491.0</v>
      </c>
      <c r="M329" s="13">
        <v>16707.0</v>
      </c>
      <c r="N329" s="7"/>
      <c r="O329" s="7"/>
      <c r="P329" s="7">
        <v>13.33</v>
      </c>
      <c r="Q329" s="7"/>
      <c r="R329" s="20"/>
      <c r="S329" s="7"/>
      <c r="T329" s="20"/>
      <c r="U329" s="16">
        <f>SUM(Template!$N329:$O329)*Template!$P329+Template!$Q329</f>
        <v>0</v>
      </c>
      <c r="V329" s="17" t="str">
        <f>IF(Template!$M329="CONSELHO","N",IF(Template!$AA329="N","N1",IF(Template!$AA329="N1","N2",IF(Template!$AA329="N2","N3",IF(Template!$AA329="N3","N4",IF(Template!$AA329="N4","N5",IF(Template!$AA329="N5","N6",IF(Template!$AA329="N6","N7",IF(Template!$AA329="N7","N8",IF(Template!$AA329="N8","N9",IF(Template!$AA329="N9","N10","NA")))))))))))</f>
        <v>N4</v>
      </c>
      <c r="W329" s="17">
        <f>COUNTIF(Template!$M$3:$M$619,Template!$D329)</f>
        <v>0</v>
      </c>
      <c r="X329" s="17" t="str">
        <f>IF(Template!$F329="","",SUMIF(Template!$M$3:$M$619,Template!$D329,Template!$AC$3:$AC$619))</f>
        <v/>
      </c>
      <c r="Y329" s="17" t="str">
        <f>IFERROR(VLOOKUP(Template!$M329,Template!$D$3:$G$619,MATCH("EmployeeJobTitle",Template!$D$2:$G$2,0),FALSE),"NA")</f>
        <v>GERENTE DE LOJA</v>
      </c>
      <c r="Z329" s="17" t="str">
        <f>IFERROR(VLOOKUP(Template!$M329,Template!$D$3:$G$619,MATCH("EmployeeGroup",Template!$D$2:$G$2,0),FALSE),"NA")</f>
        <v>GERENTE</v>
      </c>
      <c r="AA329" s="17" t="str">
        <f>IFERROR(VLOOKUP(Template!$M329,Template!$D$3:$V$619,MATCH("Layer",Template!$D$2:$V$2,0),FALSE),"NA")</f>
        <v>N3</v>
      </c>
      <c r="AB329" s="21">
        <f>VLOOKUP(Template!$M329,Template!$D$3:$F$619,MATCH("InternalGrade",Template!$D$2:$F$2,0),FALSE)-Template!$F329</f>
        <v>0</v>
      </c>
      <c r="AC329" s="17">
        <f>IF(Template!$AB329&lt;=1, 0.8,IF(Template!$AB329=2,0.4,IF(Template!$AB329=3,0.2,IF(Template!$AB329=4,0.1,IF(Template!$AB329&gt;=5,0.05,"erro")))))</f>
        <v>0.8</v>
      </c>
      <c r="AD329" s="17" t="b">
        <f>Template!$D329=Template!$M329</f>
        <v>0</v>
      </c>
      <c r="AE329" s="12" t="s">
        <v>58</v>
      </c>
    </row>
    <row r="330" ht="15.75" customHeight="1">
      <c r="A330" s="7" t="s">
        <v>190</v>
      </c>
      <c r="B330" s="7" t="s">
        <v>191</v>
      </c>
      <c r="C330" s="7" t="s">
        <v>234</v>
      </c>
      <c r="D330" s="13">
        <v>18809.0</v>
      </c>
      <c r="E330" s="7" t="s">
        <v>193</v>
      </c>
      <c r="F330" s="13"/>
      <c r="G330" s="14" t="s">
        <v>63</v>
      </c>
      <c r="H330" s="7" t="s">
        <v>194</v>
      </c>
      <c r="I330" s="7" t="s">
        <v>234</v>
      </c>
      <c r="J330" s="7" t="s">
        <v>70</v>
      </c>
      <c r="K330" s="15">
        <v>44125.0</v>
      </c>
      <c r="L330" s="15">
        <v>26467.0</v>
      </c>
      <c r="M330" s="13">
        <v>16707.0</v>
      </c>
      <c r="N330" s="7"/>
      <c r="O330" s="7"/>
      <c r="P330" s="7">
        <v>13.33</v>
      </c>
      <c r="Q330" s="7"/>
      <c r="R330" s="20"/>
      <c r="S330" s="7"/>
      <c r="T330" s="20"/>
      <c r="U330" s="16">
        <f>SUM(Template!$N330:$O330)*Template!$P330+Template!$Q330</f>
        <v>0</v>
      </c>
      <c r="V330" s="17" t="str">
        <f>IF(Template!$M330="CONSELHO","N",IF(Template!$AA330="N","N1",IF(Template!$AA330="N1","N2",IF(Template!$AA330="N2","N3",IF(Template!$AA330="N3","N4",IF(Template!$AA330="N4","N5",IF(Template!$AA330="N5","N6",IF(Template!$AA330="N6","N7",IF(Template!$AA330="N7","N8",IF(Template!$AA330="N8","N9",IF(Template!$AA330="N9","N10","NA")))))))))))</f>
        <v>N4</v>
      </c>
      <c r="W330" s="17">
        <f>COUNTIF(Template!$M$3:$M$619,Template!$D330)</f>
        <v>0</v>
      </c>
      <c r="X330" s="17" t="str">
        <f>IF(Template!$F330="","",SUMIF(Template!$M$3:$M$619,Template!$D330,Template!$AC$3:$AC$619))</f>
        <v/>
      </c>
      <c r="Y330" s="17" t="str">
        <f>IFERROR(VLOOKUP(Template!$M330,Template!$D$3:$G$619,MATCH("EmployeeJobTitle",Template!$D$2:$G$2,0),FALSE),"NA")</f>
        <v>GERENTE DE LOJA</v>
      </c>
      <c r="Z330" s="17" t="str">
        <f>IFERROR(VLOOKUP(Template!$M330,Template!$D$3:$G$619,MATCH("EmployeeGroup",Template!$D$2:$G$2,0),FALSE),"NA")</f>
        <v>GERENTE</v>
      </c>
      <c r="AA330" s="17" t="str">
        <f>IFERROR(VLOOKUP(Template!$M330,Template!$D$3:$V$619,MATCH("Layer",Template!$D$2:$V$2,0),FALSE),"NA")</f>
        <v>N3</v>
      </c>
      <c r="AB330" s="21">
        <f>VLOOKUP(Template!$M330,Template!$D$3:$F$619,MATCH("InternalGrade",Template!$D$2:$F$2,0),FALSE)-Template!$F330</f>
        <v>0</v>
      </c>
      <c r="AC330" s="17">
        <f>IF(Template!$AB330&lt;=1, 0.8,IF(Template!$AB330=2,0.4,IF(Template!$AB330=3,0.2,IF(Template!$AB330=4,0.1,IF(Template!$AB330&gt;=5,0.05,"erro")))))</f>
        <v>0.8</v>
      </c>
      <c r="AD330" s="17" t="b">
        <f>Template!$D330=Template!$M330</f>
        <v>0</v>
      </c>
      <c r="AE330" s="12" t="s">
        <v>58</v>
      </c>
    </row>
    <row r="331" ht="15.75" customHeight="1">
      <c r="A331" s="7" t="s">
        <v>190</v>
      </c>
      <c r="B331" s="7" t="s">
        <v>191</v>
      </c>
      <c r="C331" s="7" t="s">
        <v>234</v>
      </c>
      <c r="D331" s="13">
        <v>16707.0</v>
      </c>
      <c r="E331" s="7" t="s">
        <v>199</v>
      </c>
      <c r="F331" s="13"/>
      <c r="G331" s="22" t="s">
        <v>200</v>
      </c>
      <c r="H331" s="7" t="s">
        <v>194</v>
      </c>
      <c r="I331" s="7" t="s">
        <v>234</v>
      </c>
      <c r="J331" s="7" t="s">
        <v>70</v>
      </c>
      <c r="K331" s="15">
        <v>43150.0</v>
      </c>
      <c r="L331" s="15">
        <v>28223.0</v>
      </c>
      <c r="M331" s="13">
        <v>23256.0</v>
      </c>
      <c r="N331" s="7">
        <v>5467.0</v>
      </c>
      <c r="O331" s="7"/>
      <c r="P331" s="7">
        <v>13.33</v>
      </c>
      <c r="Q331" s="7"/>
      <c r="R331" s="20"/>
      <c r="S331" s="7"/>
      <c r="T331" s="20"/>
      <c r="U331" s="16">
        <f>SUM(Template!$N331:$O331)*Template!$P331+Template!$Q331</f>
        <v>72875.11</v>
      </c>
      <c r="V331" s="17" t="str">
        <f>IF(Template!$M331="CONSELHO","N",IF(Template!$AA331="N","N1",IF(Template!$AA331="N1","N2",IF(Template!$AA331="N2","N3",IF(Template!$AA331="N3","N4",IF(Template!$AA331="N4","N5",IF(Template!$AA331="N5","N6",IF(Template!$AA331="N6","N7",IF(Template!$AA331="N7","N8",IF(Template!$AA331="N8","N9",IF(Template!$AA331="N9","N10","NA")))))))))))</f>
        <v>N3</v>
      </c>
      <c r="W331" s="17">
        <f>COUNTIF(Template!$M$3:$M$619,Template!$D331)</f>
        <v>10</v>
      </c>
      <c r="X331" s="17" t="str">
        <f>IF(Template!$F331="","",SUMIF(Template!$M$3:$M$619,Template!$D331,Template!$AC$3:$AC$619))</f>
        <v/>
      </c>
      <c r="Y331" s="17" t="str">
        <f>IFERROR(VLOOKUP(Template!$M331,Template!$D$3:$G$619,MATCH("EmployeeJobTitle",Template!$D$2:$G$2,0),FALSE),"NA")</f>
        <v>GERENTE COMERCIAL</v>
      </c>
      <c r="Z331" s="17" t="str">
        <f>IFERROR(VLOOKUP(Template!$M331,Template!$D$3:$G$619,MATCH("EmployeeGroup",Template!$D$2:$G$2,0),FALSE),"NA")</f>
        <v>Coordenador</v>
      </c>
      <c r="AA331" s="17" t="str">
        <f>IFERROR(VLOOKUP(Template!$M331,Template!$D$3:$V$619,MATCH("Layer",Template!$D$2:$V$2,0),FALSE),"NA")</f>
        <v>N2</v>
      </c>
      <c r="AB331" s="21">
        <f>VLOOKUP(Template!$M331,Template!$D$3:$F$619,MATCH("InternalGrade",Template!$D$2:$F$2,0),FALSE)-Template!$F331</f>
        <v>19</v>
      </c>
      <c r="AC331" s="17">
        <f>IF(Template!$AB331&lt;=1, 0.8,IF(Template!$AB331=2,0.4,IF(Template!$AB331=3,0.2,IF(Template!$AB331=4,0.1,IF(Template!$AB331&gt;=5,0.05,"erro")))))</f>
        <v>0.05</v>
      </c>
      <c r="AD331" s="17" t="b">
        <f>Template!$D331=Template!$M331</f>
        <v>0</v>
      </c>
      <c r="AE331" s="12" t="s">
        <v>58</v>
      </c>
    </row>
    <row r="332" ht="15.75" customHeight="1">
      <c r="A332" s="7" t="s">
        <v>190</v>
      </c>
      <c r="B332" s="7" t="s">
        <v>191</v>
      </c>
      <c r="C332" s="7" t="s">
        <v>234</v>
      </c>
      <c r="D332" s="13">
        <v>24946.0</v>
      </c>
      <c r="E332" s="7" t="s">
        <v>193</v>
      </c>
      <c r="F332" s="13"/>
      <c r="G332" s="14" t="s">
        <v>63</v>
      </c>
      <c r="H332" s="7" t="s">
        <v>194</v>
      </c>
      <c r="I332" s="7" t="s">
        <v>234</v>
      </c>
      <c r="J332" s="7" t="s">
        <v>70</v>
      </c>
      <c r="K332" s="15">
        <v>45372.0</v>
      </c>
      <c r="L332" s="15">
        <v>37859.0</v>
      </c>
      <c r="M332" s="13">
        <v>16707.0</v>
      </c>
      <c r="N332" s="7"/>
      <c r="O332" s="7"/>
      <c r="P332" s="7">
        <v>13.33</v>
      </c>
      <c r="Q332" s="7"/>
      <c r="R332" s="20"/>
      <c r="S332" s="7"/>
      <c r="T332" s="20"/>
      <c r="U332" s="16">
        <f>SUM(Template!$N332:$O332)*Template!$P332+Template!$Q332</f>
        <v>0</v>
      </c>
      <c r="V332" s="17" t="str">
        <f>IF(Template!$M332="CONSELHO","N",IF(Template!$AA332="N","N1",IF(Template!$AA332="N1","N2",IF(Template!$AA332="N2","N3",IF(Template!$AA332="N3","N4",IF(Template!$AA332="N4","N5",IF(Template!$AA332="N5","N6",IF(Template!$AA332="N6","N7",IF(Template!$AA332="N7","N8",IF(Template!$AA332="N8","N9",IF(Template!$AA332="N9","N10","NA")))))))))))</f>
        <v>N4</v>
      </c>
      <c r="W332" s="17">
        <f>COUNTIF(Template!$M$3:$M$619,Template!$D332)</f>
        <v>0</v>
      </c>
      <c r="X332" s="17" t="str">
        <f>IF(Template!$F332="","",SUMIF(Template!$M$3:$M$619,Template!$D332,Template!$AC$3:$AC$619))</f>
        <v/>
      </c>
      <c r="Y332" s="17" t="str">
        <f>IFERROR(VLOOKUP(Template!$M332,Template!$D$3:$G$619,MATCH("EmployeeJobTitle",Template!$D$2:$G$2,0),FALSE),"NA")</f>
        <v>GERENTE DE LOJA</v>
      </c>
      <c r="Z332" s="17" t="str">
        <f>IFERROR(VLOOKUP(Template!$M332,Template!$D$3:$G$619,MATCH("EmployeeGroup",Template!$D$2:$G$2,0),FALSE),"NA")</f>
        <v>GERENTE</v>
      </c>
      <c r="AA332" s="17" t="str">
        <f>IFERROR(VLOOKUP(Template!$M332,Template!$D$3:$V$619,MATCH("Layer",Template!$D$2:$V$2,0),FALSE),"NA")</f>
        <v>N3</v>
      </c>
      <c r="AB332" s="21">
        <f>VLOOKUP(Template!$M332,Template!$D$3:$F$619,MATCH("InternalGrade",Template!$D$2:$F$2,0),FALSE)-Template!$F332</f>
        <v>0</v>
      </c>
      <c r="AC332" s="17">
        <f>IF(Template!$AB332&lt;=1, 0.8,IF(Template!$AB332=2,0.4,IF(Template!$AB332=3,0.2,IF(Template!$AB332=4,0.1,IF(Template!$AB332&gt;=5,0.05,"erro")))))</f>
        <v>0.8</v>
      </c>
      <c r="AD332" s="17" t="b">
        <f>Template!$D332=Template!$M332</f>
        <v>0</v>
      </c>
      <c r="AE332" s="12" t="s">
        <v>58</v>
      </c>
    </row>
    <row r="333" ht="15.75" customHeight="1">
      <c r="A333" s="7" t="s">
        <v>190</v>
      </c>
      <c r="B333" s="7" t="s">
        <v>191</v>
      </c>
      <c r="C333" s="7" t="s">
        <v>234</v>
      </c>
      <c r="D333" s="13">
        <v>25370.0</v>
      </c>
      <c r="E333" s="7" t="s">
        <v>193</v>
      </c>
      <c r="F333" s="13"/>
      <c r="G333" s="14" t="s">
        <v>63</v>
      </c>
      <c r="H333" s="7" t="s">
        <v>194</v>
      </c>
      <c r="I333" s="7" t="s">
        <v>234</v>
      </c>
      <c r="J333" s="7" t="s">
        <v>70</v>
      </c>
      <c r="K333" s="15">
        <v>45544.0</v>
      </c>
      <c r="L333" s="15">
        <v>37627.0</v>
      </c>
      <c r="M333" s="13">
        <v>16707.0</v>
      </c>
      <c r="N333" s="7"/>
      <c r="O333" s="7"/>
      <c r="P333" s="7">
        <v>13.33</v>
      </c>
      <c r="Q333" s="7"/>
      <c r="R333" s="20"/>
      <c r="S333" s="7"/>
      <c r="T333" s="20"/>
      <c r="U333" s="16">
        <f>SUM(Template!$N333:$O333)*Template!$P333+Template!$Q333</f>
        <v>0</v>
      </c>
      <c r="V333" s="17" t="str">
        <f>IF(Template!$M333="CONSELHO","N",IF(Template!$AA333="N","N1",IF(Template!$AA333="N1","N2",IF(Template!$AA333="N2","N3",IF(Template!$AA333="N3","N4",IF(Template!$AA333="N4","N5",IF(Template!$AA333="N5","N6",IF(Template!$AA333="N6","N7",IF(Template!$AA333="N7","N8",IF(Template!$AA333="N8","N9",IF(Template!$AA333="N9","N10","NA")))))))))))</f>
        <v>N4</v>
      </c>
      <c r="W333" s="17">
        <f>COUNTIF(Template!$M$3:$M$619,Template!$D333)</f>
        <v>0</v>
      </c>
      <c r="X333" s="17" t="str">
        <f>IF(Template!$F333="","",SUMIF(Template!$M$3:$M$619,Template!$D333,Template!$AC$3:$AC$619))</f>
        <v/>
      </c>
      <c r="Y333" s="17" t="str">
        <f>IFERROR(VLOOKUP(Template!$M333,Template!$D$3:$G$619,MATCH("EmployeeJobTitle",Template!$D$2:$G$2,0),FALSE),"NA")</f>
        <v>GERENTE DE LOJA</v>
      </c>
      <c r="Z333" s="17" t="str">
        <f>IFERROR(VLOOKUP(Template!$M333,Template!$D$3:$G$619,MATCH("EmployeeGroup",Template!$D$2:$G$2,0),FALSE),"NA")</f>
        <v>GERENTE</v>
      </c>
      <c r="AA333" s="17" t="str">
        <f>IFERROR(VLOOKUP(Template!$M333,Template!$D$3:$V$619,MATCH("Layer",Template!$D$2:$V$2,0),FALSE),"NA")</f>
        <v>N3</v>
      </c>
      <c r="AB333" s="21">
        <f>VLOOKUP(Template!$M333,Template!$D$3:$F$619,MATCH("InternalGrade",Template!$D$2:$F$2,0),FALSE)-Template!$F333</f>
        <v>0</v>
      </c>
      <c r="AC333" s="17">
        <f>IF(Template!$AB333&lt;=1, 0.8,IF(Template!$AB333=2,0.4,IF(Template!$AB333=3,0.2,IF(Template!$AB333=4,0.1,IF(Template!$AB333&gt;=5,0.05,"erro")))))</f>
        <v>0.8</v>
      </c>
      <c r="AD333" s="17" t="b">
        <f>Template!$D333=Template!$M333</f>
        <v>0</v>
      </c>
      <c r="AE333" s="12" t="s">
        <v>58</v>
      </c>
    </row>
    <row r="334" ht="15.75" customHeight="1">
      <c r="A334" s="7" t="s">
        <v>190</v>
      </c>
      <c r="B334" s="7" t="s">
        <v>191</v>
      </c>
      <c r="C334" s="7" t="s">
        <v>234</v>
      </c>
      <c r="D334" s="13">
        <v>17733.0</v>
      </c>
      <c r="E334" s="7" t="s">
        <v>204</v>
      </c>
      <c r="F334" s="13"/>
      <c r="G334" s="14" t="s">
        <v>63</v>
      </c>
      <c r="H334" s="7" t="s">
        <v>194</v>
      </c>
      <c r="I334" s="7" t="s">
        <v>234</v>
      </c>
      <c r="J334" s="7" t="s">
        <v>70</v>
      </c>
      <c r="K334" s="15">
        <v>43626.0</v>
      </c>
      <c r="L334" s="15">
        <v>32821.0</v>
      </c>
      <c r="M334" s="13">
        <v>16707.0</v>
      </c>
      <c r="N334" s="7"/>
      <c r="O334" s="7"/>
      <c r="P334" s="7">
        <v>13.33</v>
      </c>
      <c r="Q334" s="7"/>
      <c r="R334" s="20"/>
      <c r="S334" s="7"/>
      <c r="T334" s="20"/>
      <c r="U334" s="16">
        <f>SUM(Template!$N334:$O334)*Template!$P334+Template!$Q334</f>
        <v>0</v>
      </c>
      <c r="V334" s="17" t="str">
        <f>IF(Template!$M334="CONSELHO","N",IF(Template!$AA334="N","N1",IF(Template!$AA334="N1","N2",IF(Template!$AA334="N2","N3",IF(Template!$AA334="N3","N4",IF(Template!$AA334="N4","N5",IF(Template!$AA334="N5","N6",IF(Template!$AA334="N6","N7",IF(Template!$AA334="N7","N8",IF(Template!$AA334="N8","N9",IF(Template!$AA334="N9","N10","NA")))))))))))</f>
        <v>N4</v>
      </c>
      <c r="W334" s="17">
        <f>COUNTIF(Template!$M$3:$M$619,Template!$D334)</f>
        <v>0</v>
      </c>
      <c r="X334" s="17" t="str">
        <f>IF(Template!$F334="","",SUMIF(Template!$M$3:$M$619,Template!$D334,Template!$AC$3:$AC$619))</f>
        <v/>
      </c>
      <c r="Y334" s="17" t="str">
        <f>IFERROR(VLOOKUP(Template!$M334,Template!$D$3:$G$619,MATCH("EmployeeJobTitle",Template!$D$2:$G$2,0),FALSE),"NA")</f>
        <v>GERENTE DE LOJA</v>
      </c>
      <c r="Z334" s="17" t="str">
        <f>IFERROR(VLOOKUP(Template!$M334,Template!$D$3:$G$619,MATCH("EmployeeGroup",Template!$D$2:$G$2,0),FALSE),"NA")</f>
        <v>GERENTE</v>
      </c>
      <c r="AA334" s="17" t="str">
        <f>IFERROR(VLOOKUP(Template!$M334,Template!$D$3:$V$619,MATCH("Layer",Template!$D$2:$V$2,0),FALSE),"NA")</f>
        <v>N3</v>
      </c>
      <c r="AB334" s="21">
        <f>VLOOKUP(Template!$M334,Template!$D$3:$F$619,MATCH("InternalGrade",Template!$D$2:$F$2,0),FALSE)-Template!$F334</f>
        <v>0</v>
      </c>
      <c r="AC334" s="17">
        <f>IF(Template!$AB334&lt;=1, 0.8,IF(Template!$AB334=2,0.4,IF(Template!$AB334=3,0.2,IF(Template!$AB334=4,0.1,IF(Template!$AB334&gt;=5,0.05,"erro")))))</f>
        <v>0.8</v>
      </c>
      <c r="AD334" s="17" t="b">
        <f>Template!$D334=Template!$M334</f>
        <v>0</v>
      </c>
      <c r="AE334" s="12" t="s">
        <v>58</v>
      </c>
    </row>
    <row r="335" ht="15.75" customHeight="1">
      <c r="A335" s="7" t="s">
        <v>190</v>
      </c>
      <c r="B335" s="7" t="s">
        <v>191</v>
      </c>
      <c r="C335" s="7" t="s">
        <v>234</v>
      </c>
      <c r="D335" s="13">
        <v>25156.0</v>
      </c>
      <c r="E335" s="7" t="s">
        <v>193</v>
      </c>
      <c r="F335" s="13"/>
      <c r="G335" s="14" t="s">
        <v>63</v>
      </c>
      <c r="H335" s="7" t="s">
        <v>194</v>
      </c>
      <c r="I335" s="7" t="s">
        <v>234</v>
      </c>
      <c r="J335" s="7" t="s">
        <v>70</v>
      </c>
      <c r="K335" s="15">
        <v>45474.0</v>
      </c>
      <c r="L335" s="15">
        <v>33361.0</v>
      </c>
      <c r="M335" s="13">
        <v>16707.0</v>
      </c>
      <c r="N335" s="7"/>
      <c r="O335" s="7"/>
      <c r="P335" s="7">
        <v>13.33</v>
      </c>
      <c r="Q335" s="7"/>
      <c r="R335" s="20"/>
      <c r="S335" s="7"/>
      <c r="T335" s="20"/>
      <c r="U335" s="16">
        <f>SUM(Template!$N335:$O335)*Template!$P335+Template!$Q335</f>
        <v>0</v>
      </c>
      <c r="V335" s="17" t="str">
        <f>IF(Template!$M335="CONSELHO","N",IF(Template!$AA335="N","N1",IF(Template!$AA335="N1","N2",IF(Template!$AA335="N2","N3",IF(Template!$AA335="N3","N4",IF(Template!$AA335="N4","N5",IF(Template!$AA335="N5","N6",IF(Template!$AA335="N6","N7",IF(Template!$AA335="N7","N8",IF(Template!$AA335="N8","N9",IF(Template!$AA335="N9","N10","NA")))))))))))</f>
        <v>N4</v>
      </c>
      <c r="W335" s="17">
        <f>COUNTIF(Template!$M$3:$M$619,Template!$D335)</f>
        <v>0</v>
      </c>
      <c r="X335" s="17" t="str">
        <f>IF(Template!$F335="","",SUMIF(Template!$M$3:$M$619,Template!$D335,Template!$AC$3:$AC$619))</f>
        <v/>
      </c>
      <c r="Y335" s="17" t="str">
        <f>IFERROR(VLOOKUP(Template!$M335,Template!$D$3:$G$619,MATCH("EmployeeJobTitle",Template!$D$2:$G$2,0),FALSE),"NA")</f>
        <v>GERENTE DE LOJA</v>
      </c>
      <c r="Z335" s="17" t="str">
        <f>IFERROR(VLOOKUP(Template!$M335,Template!$D$3:$G$619,MATCH("EmployeeGroup",Template!$D$2:$G$2,0),FALSE),"NA")</f>
        <v>GERENTE</v>
      </c>
      <c r="AA335" s="17" t="str">
        <f>IFERROR(VLOOKUP(Template!$M335,Template!$D$3:$V$619,MATCH("Layer",Template!$D$2:$V$2,0),FALSE),"NA")</f>
        <v>N3</v>
      </c>
      <c r="AB335" s="21">
        <f>VLOOKUP(Template!$M335,Template!$D$3:$F$619,MATCH("InternalGrade",Template!$D$2:$F$2,0),FALSE)-Template!$F335</f>
        <v>0</v>
      </c>
      <c r="AC335" s="17">
        <f>IF(Template!$AB335&lt;=1, 0.8,IF(Template!$AB335=2,0.4,IF(Template!$AB335=3,0.2,IF(Template!$AB335=4,0.1,IF(Template!$AB335&gt;=5,0.05,"erro")))))</f>
        <v>0.8</v>
      </c>
      <c r="AD335" s="17" t="b">
        <f>Template!$D335=Template!$M335</f>
        <v>0</v>
      </c>
      <c r="AE335" s="12" t="s">
        <v>58</v>
      </c>
    </row>
    <row r="336" ht="15.75" customHeight="1">
      <c r="A336" s="7" t="s">
        <v>190</v>
      </c>
      <c r="B336" s="7" t="s">
        <v>191</v>
      </c>
      <c r="C336" s="7" t="s">
        <v>234</v>
      </c>
      <c r="D336" s="13">
        <v>25364.0</v>
      </c>
      <c r="E336" s="7" t="s">
        <v>198</v>
      </c>
      <c r="F336" s="13"/>
      <c r="G336" s="14" t="s">
        <v>63</v>
      </c>
      <c r="H336" s="7" t="s">
        <v>194</v>
      </c>
      <c r="I336" s="7" t="s">
        <v>234</v>
      </c>
      <c r="J336" s="7" t="s">
        <v>70</v>
      </c>
      <c r="K336" s="15">
        <v>45544.0</v>
      </c>
      <c r="L336" s="15">
        <v>38877.0</v>
      </c>
      <c r="M336" s="13">
        <v>16707.0</v>
      </c>
      <c r="N336" s="7">
        <v>1530.0</v>
      </c>
      <c r="O336" s="7"/>
      <c r="P336" s="7">
        <v>13.33</v>
      </c>
      <c r="Q336" s="7"/>
      <c r="R336" s="20"/>
      <c r="S336" s="7"/>
      <c r="T336" s="20"/>
      <c r="U336" s="16">
        <f>SUM(Template!$N336:$O336)*Template!$P336+Template!$Q336</f>
        <v>20394.9</v>
      </c>
      <c r="V336" s="17" t="str">
        <f>IF(Template!$M336="CONSELHO","N",IF(Template!$AA336="N","N1",IF(Template!$AA336="N1","N2",IF(Template!$AA336="N2","N3",IF(Template!$AA336="N3","N4",IF(Template!$AA336="N4","N5",IF(Template!$AA336="N5","N6",IF(Template!$AA336="N6","N7",IF(Template!$AA336="N7","N8",IF(Template!$AA336="N8","N9",IF(Template!$AA336="N9","N10","NA")))))))))))</f>
        <v>N4</v>
      </c>
      <c r="W336" s="17">
        <f>COUNTIF(Template!$M$3:$M$619,Template!$D336)</f>
        <v>0</v>
      </c>
      <c r="X336" s="17" t="str">
        <f>IF(Template!$F336="","",SUMIF(Template!$M$3:$M$619,Template!$D336,Template!$AC$3:$AC$619))</f>
        <v/>
      </c>
      <c r="Y336" s="17" t="str">
        <f>IFERROR(VLOOKUP(Template!$M336,Template!$D$3:$G$619,MATCH("EmployeeJobTitle",Template!$D$2:$G$2,0),FALSE),"NA")</f>
        <v>GERENTE DE LOJA</v>
      </c>
      <c r="Z336" s="17" t="str">
        <f>IFERROR(VLOOKUP(Template!$M336,Template!$D$3:$G$619,MATCH("EmployeeGroup",Template!$D$2:$G$2,0),FALSE),"NA")</f>
        <v>GERENTE</v>
      </c>
      <c r="AA336" s="17" t="str">
        <f>IFERROR(VLOOKUP(Template!$M336,Template!$D$3:$V$619,MATCH("Layer",Template!$D$2:$V$2,0),FALSE),"NA")</f>
        <v>N3</v>
      </c>
      <c r="AB336" s="21">
        <f>VLOOKUP(Template!$M336,Template!$D$3:$F$619,MATCH("InternalGrade",Template!$D$2:$F$2,0),FALSE)-Template!$F336</f>
        <v>0</v>
      </c>
      <c r="AC336" s="17">
        <f>IF(Template!$AB336&lt;=1, 0.8,IF(Template!$AB336=2,0.4,IF(Template!$AB336=3,0.2,IF(Template!$AB336=4,0.1,IF(Template!$AB336&gt;=5,0.05,"erro")))))</f>
        <v>0.8</v>
      </c>
      <c r="AD336" s="17" t="b">
        <f>Template!$D336=Template!$M336</f>
        <v>0</v>
      </c>
      <c r="AE336" s="12" t="s">
        <v>58</v>
      </c>
    </row>
    <row r="337" ht="15.75" customHeight="1">
      <c r="A337" s="7" t="s">
        <v>190</v>
      </c>
      <c r="B337" s="7" t="s">
        <v>191</v>
      </c>
      <c r="C337" s="7" t="s">
        <v>234</v>
      </c>
      <c r="D337" s="13">
        <v>23599.0</v>
      </c>
      <c r="E337" s="7" t="s">
        <v>203</v>
      </c>
      <c r="F337" s="13"/>
      <c r="G337" s="14" t="s">
        <v>63</v>
      </c>
      <c r="H337" s="7" t="s">
        <v>194</v>
      </c>
      <c r="I337" s="7" t="s">
        <v>234</v>
      </c>
      <c r="J337" s="7" t="s">
        <v>70</v>
      </c>
      <c r="K337" s="15">
        <v>44946.0</v>
      </c>
      <c r="L337" s="15">
        <v>32568.0</v>
      </c>
      <c r="M337" s="13">
        <v>16707.0</v>
      </c>
      <c r="N337" s="7"/>
      <c r="O337" s="7"/>
      <c r="P337" s="7">
        <v>13.33</v>
      </c>
      <c r="Q337" s="7"/>
      <c r="R337" s="20"/>
      <c r="S337" s="7"/>
      <c r="T337" s="20"/>
      <c r="U337" s="16">
        <f>SUM(Template!$N337:$O337)*Template!$P337+Template!$Q337</f>
        <v>0</v>
      </c>
      <c r="V337" s="17" t="str">
        <f>IF(Template!$M337="CONSELHO","N",IF(Template!$AA337="N","N1",IF(Template!$AA337="N1","N2",IF(Template!$AA337="N2","N3",IF(Template!$AA337="N3","N4",IF(Template!$AA337="N4","N5",IF(Template!$AA337="N5","N6",IF(Template!$AA337="N6","N7",IF(Template!$AA337="N7","N8",IF(Template!$AA337="N8","N9",IF(Template!$AA337="N9","N10","NA")))))))))))</f>
        <v>N4</v>
      </c>
      <c r="W337" s="17">
        <f>COUNTIF(Template!$M$3:$M$619,Template!$D337)</f>
        <v>0</v>
      </c>
      <c r="X337" s="17" t="str">
        <f>IF(Template!$F337="","",SUMIF(Template!$M$3:$M$619,Template!$D337,Template!$AC$3:$AC$619))</f>
        <v/>
      </c>
      <c r="Y337" s="17" t="str">
        <f>IFERROR(VLOOKUP(Template!$M337,Template!$D$3:$G$619,MATCH("EmployeeJobTitle",Template!$D$2:$G$2,0),FALSE),"NA")</f>
        <v>GERENTE DE LOJA</v>
      </c>
      <c r="Z337" s="17" t="str">
        <f>IFERROR(VLOOKUP(Template!$M337,Template!$D$3:$G$619,MATCH("EmployeeGroup",Template!$D$2:$G$2,0),FALSE),"NA")</f>
        <v>GERENTE</v>
      </c>
      <c r="AA337" s="17" t="str">
        <f>IFERROR(VLOOKUP(Template!$M337,Template!$D$3:$V$619,MATCH("Layer",Template!$D$2:$V$2,0),FALSE),"NA")</f>
        <v>N3</v>
      </c>
      <c r="AB337" s="21">
        <f>VLOOKUP(Template!$M337,Template!$D$3:$F$619,MATCH("InternalGrade",Template!$D$2:$F$2,0),FALSE)-Template!$F337</f>
        <v>0</v>
      </c>
      <c r="AC337" s="17">
        <f>IF(Template!$AB337&lt;=1, 0.8,IF(Template!$AB337=2,0.4,IF(Template!$AB337=3,0.2,IF(Template!$AB337=4,0.1,IF(Template!$AB337&gt;=5,0.05,"erro")))))</f>
        <v>0.8</v>
      </c>
      <c r="AD337" s="17" t="b">
        <f>Template!$D337=Template!$M337</f>
        <v>0</v>
      </c>
      <c r="AE337" s="12" t="s">
        <v>58</v>
      </c>
    </row>
    <row r="338" ht="15.75" customHeight="1">
      <c r="A338" s="7" t="s">
        <v>190</v>
      </c>
      <c r="B338" s="7" t="s">
        <v>191</v>
      </c>
      <c r="C338" s="7" t="s">
        <v>234</v>
      </c>
      <c r="D338" s="13">
        <v>25311.0</v>
      </c>
      <c r="E338" s="7" t="s">
        <v>201</v>
      </c>
      <c r="F338" s="13"/>
      <c r="G338" s="14" t="s">
        <v>63</v>
      </c>
      <c r="H338" s="7" t="s">
        <v>194</v>
      </c>
      <c r="I338" s="7" t="s">
        <v>234</v>
      </c>
      <c r="J338" s="7" t="s">
        <v>70</v>
      </c>
      <c r="K338" s="15">
        <v>45517.0</v>
      </c>
      <c r="L338" s="15">
        <v>38259.0</v>
      </c>
      <c r="M338" s="13">
        <v>16707.0</v>
      </c>
      <c r="N338" s="7">
        <v>995.08</v>
      </c>
      <c r="O338" s="7"/>
      <c r="P338" s="7">
        <v>13.33</v>
      </c>
      <c r="Q338" s="7"/>
      <c r="R338" s="20"/>
      <c r="S338" s="7"/>
      <c r="T338" s="20"/>
      <c r="U338" s="16">
        <f>SUM(Template!$N338:$O338)*Template!$P338+Template!$Q338</f>
        <v>13264.4164</v>
      </c>
      <c r="V338" s="17" t="str">
        <f>IF(Template!$M338="CONSELHO","N",IF(Template!$AA338="N","N1",IF(Template!$AA338="N1","N2",IF(Template!$AA338="N2","N3",IF(Template!$AA338="N3","N4",IF(Template!$AA338="N4","N5",IF(Template!$AA338="N5","N6",IF(Template!$AA338="N6","N7",IF(Template!$AA338="N7","N8",IF(Template!$AA338="N8","N9",IF(Template!$AA338="N9","N10","NA")))))))))))</f>
        <v>N4</v>
      </c>
      <c r="W338" s="17">
        <f>COUNTIF(Template!$M$3:$M$619,Template!$D338)</f>
        <v>0</v>
      </c>
      <c r="X338" s="17" t="str">
        <f>IF(Template!$F338="","",SUMIF(Template!$M$3:$M$619,Template!$D338,Template!$AC$3:$AC$619))</f>
        <v/>
      </c>
      <c r="Y338" s="17" t="str">
        <f>IFERROR(VLOOKUP(Template!$M338,Template!$D$3:$G$619,MATCH("EmployeeJobTitle",Template!$D$2:$G$2,0),FALSE),"NA")</f>
        <v>GERENTE DE LOJA</v>
      </c>
      <c r="Z338" s="17" t="str">
        <f>IFERROR(VLOOKUP(Template!$M338,Template!$D$3:$G$619,MATCH("EmployeeGroup",Template!$D$2:$G$2,0),FALSE),"NA")</f>
        <v>GERENTE</v>
      </c>
      <c r="AA338" s="17" t="str">
        <f>IFERROR(VLOOKUP(Template!$M338,Template!$D$3:$V$619,MATCH("Layer",Template!$D$2:$V$2,0),FALSE),"NA")</f>
        <v>N3</v>
      </c>
      <c r="AB338" s="21">
        <f>VLOOKUP(Template!$M338,Template!$D$3:$F$619,MATCH("InternalGrade",Template!$D$2:$F$2,0),FALSE)-Template!$F338</f>
        <v>0</v>
      </c>
      <c r="AC338" s="17">
        <f>IF(Template!$AB338&lt;=1, 0.8,IF(Template!$AB338=2,0.4,IF(Template!$AB338=3,0.2,IF(Template!$AB338=4,0.1,IF(Template!$AB338&gt;=5,0.05,"erro")))))</f>
        <v>0.8</v>
      </c>
      <c r="AD338" s="17" t="b">
        <f>Template!$D338=Template!$M338</f>
        <v>0</v>
      </c>
      <c r="AE338" s="12" t="s">
        <v>58</v>
      </c>
    </row>
    <row r="339" ht="15.75" customHeight="1">
      <c r="A339" s="7" t="s">
        <v>190</v>
      </c>
      <c r="B339" s="7" t="s">
        <v>160</v>
      </c>
      <c r="C339" s="7" t="s">
        <v>235</v>
      </c>
      <c r="D339" s="13">
        <v>18742.0</v>
      </c>
      <c r="E339" s="7" t="s">
        <v>198</v>
      </c>
      <c r="F339" s="13"/>
      <c r="G339" s="14" t="s">
        <v>63</v>
      </c>
      <c r="H339" s="7" t="s">
        <v>230</v>
      </c>
      <c r="I339" s="7" t="s">
        <v>231</v>
      </c>
      <c r="J339" s="7" t="s">
        <v>70</v>
      </c>
      <c r="K339" s="15">
        <v>44091.0</v>
      </c>
      <c r="L339" s="15">
        <v>27329.0</v>
      </c>
      <c r="M339" s="13">
        <v>18433.0</v>
      </c>
      <c r="N339" s="7">
        <v>1639.0</v>
      </c>
      <c r="O339" s="7"/>
      <c r="P339" s="7">
        <v>13.33</v>
      </c>
      <c r="Q339" s="7"/>
      <c r="R339" s="20"/>
      <c r="S339" s="7"/>
      <c r="T339" s="20"/>
      <c r="U339" s="16">
        <f>SUM(Template!$N339:$O339)*Template!$P339+Template!$Q339</f>
        <v>21847.87</v>
      </c>
      <c r="V339" s="17" t="str">
        <f>IF(Template!$M339="CONSELHO","N",IF(Template!$AA339="N","N1",IF(Template!$AA339="N1","N2",IF(Template!$AA339="N2","N3",IF(Template!$AA339="N3","N4",IF(Template!$AA339="N4","N5",IF(Template!$AA339="N5","N6",IF(Template!$AA339="N6","N7",IF(Template!$AA339="N7","N8",IF(Template!$AA339="N8","N9",IF(Template!$AA339="N9","N10","NA")))))))))))</f>
        <v>N4</v>
      </c>
      <c r="W339" s="17">
        <f>COUNTIF(Template!$M$3:$M$619,Template!$D339)</f>
        <v>0</v>
      </c>
      <c r="X339" s="17" t="str">
        <f>IF(Template!$F339="","",SUMIF(Template!$M$3:$M$619,Template!$D339,Template!$AC$3:$AC$619))</f>
        <v/>
      </c>
      <c r="Y339" s="17" t="str">
        <f>IFERROR(VLOOKUP(Template!$M339,Template!$D$3:$G$619,MATCH("EmployeeJobTitle",Template!$D$2:$G$2,0),FALSE),"NA")</f>
        <v>GERENTE DE LOJA</v>
      </c>
      <c r="Z339" s="17" t="str">
        <f>IFERROR(VLOOKUP(Template!$M339,Template!$D$3:$G$619,MATCH("EmployeeGroup",Template!$D$2:$G$2,0),FALSE),"NA")</f>
        <v>GERENTE</v>
      </c>
      <c r="AA339" s="17" t="str">
        <f>IFERROR(VLOOKUP(Template!$M339,Template!$D$3:$V$619,MATCH("Layer",Template!$D$2:$V$2,0),FALSE),"NA")</f>
        <v>N3</v>
      </c>
      <c r="AB339" s="21">
        <f>VLOOKUP(Template!$M339,Template!$D$3:$F$619,MATCH("InternalGrade",Template!$D$2:$F$2,0),FALSE)-Template!$F339</f>
        <v>0</v>
      </c>
      <c r="AC339" s="17">
        <f>IF(Template!$AB339&lt;=1, 0.8,IF(Template!$AB339=2,0.4,IF(Template!$AB339=3,0.2,IF(Template!$AB339=4,0.1,IF(Template!$AB339&gt;=5,0.05,"erro")))))</f>
        <v>0.8</v>
      </c>
      <c r="AD339" s="17" t="b">
        <f>Template!$D339=Template!$M339</f>
        <v>0</v>
      </c>
      <c r="AE339" s="12" t="s">
        <v>58</v>
      </c>
    </row>
    <row r="340" ht="15.75" customHeight="1">
      <c r="A340" s="7" t="s">
        <v>190</v>
      </c>
      <c r="B340" s="7" t="s">
        <v>160</v>
      </c>
      <c r="C340" s="7" t="s">
        <v>235</v>
      </c>
      <c r="D340" s="13">
        <v>12281.0</v>
      </c>
      <c r="E340" s="7" t="s">
        <v>204</v>
      </c>
      <c r="F340" s="13"/>
      <c r="G340" s="14" t="s">
        <v>63</v>
      </c>
      <c r="H340" s="7" t="s">
        <v>230</v>
      </c>
      <c r="I340" s="7" t="s">
        <v>231</v>
      </c>
      <c r="J340" s="7" t="s">
        <v>70</v>
      </c>
      <c r="K340" s="15">
        <v>41255.0</v>
      </c>
      <c r="L340" s="15">
        <v>31530.0</v>
      </c>
      <c r="M340" s="13">
        <v>18433.0</v>
      </c>
      <c r="N340" s="7"/>
      <c r="O340" s="7"/>
      <c r="P340" s="7">
        <v>13.33</v>
      </c>
      <c r="Q340" s="7"/>
      <c r="R340" s="20"/>
      <c r="S340" s="7"/>
      <c r="T340" s="20"/>
      <c r="U340" s="16">
        <f>SUM(Template!$N340:$O340)*Template!$P340+Template!$Q340</f>
        <v>0</v>
      </c>
      <c r="V340" s="17" t="str">
        <f>IF(Template!$M340="CONSELHO","N",IF(Template!$AA340="N","N1",IF(Template!$AA340="N1","N2",IF(Template!$AA340="N2","N3",IF(Template!$AA340="N3","N4",IF(Template!$AA340="N4","N5",IF(Template!$AA340="N5","N6",IF(Template!$AA340="N6","N7",IF(Template!$AA340="N7","N8",IF(Template!$AA340="N8","N9",IF(Template!$AA340="N9","N10","NA")))))))))))</f>
        <v>N4</v>
      </c>
      <c r="W340" s="17">
        <f>COUNTIF(Template!$M$3:$M$619,Template!$D340)</f>
        <v>0</v>
      </c>
      <c r="X340" s="17" t="str">
        <f>IF(Template!$F340="","",SUMIF(Template!$M$3:$M$619,Template!$D340,Template!$AC$3:$AC$619))</f>
        <v/>
      </c>
      <c r="Y340" s="17" t="str">
        <f>IFERROR(VLOOKUP(Template!$M340,Template!$D$3:$G$619,MATCH("EmployeeJobTitle",Template!$D$2:$G$2,0),FALSE),"NA")</f>
        <v>GERENTE DE LOJA</v>
      </c>
      <c r="Z340" s="17" t="str">
        <f>IFERROR(VLOOKUP(Template!$M340,Template!$D$3:$G$619,MATCH("EmployeeGroup",Template!$D$2:$G$2,0),FALSE),"NA")</f>
        <v>GERENTE</v>
      </c>
      <c r="AA340" s="17" t="str">
        <f>IFERROR(VLOOKUP(Template!$M340,Template!$D$3:$V$619,MATCH("Layer",Template!$D$2:$V$2,0),FALSE),"NA")</f>
        <v>N3</v>
      </c>
      <c r="AB340" s="21">
        <f>VLOOKUP(Template!$M340,Template!$D$3:$F$619,MATCH("InternalGrade",Template!$D$2:$F$2,0),FALSE)-Template!$F340</f>
        <v>0</v>
      </c>
      <c r="AC340" s="17">
        <f>IF(Template!$AB340&lt;=1, 0.8,IF(Template!$AB340=2,0.4,IF(Template!$AB340=3,0.2,IF(Template!$AB340=4,0.1,IF(Template!$AB340&gt;=5,0.05,"erro")))))</f>
        <v>0.8</v>
      </c>
      <c r="AD340" s="17" t="b">
        <f>Template!$D340=Template!$M340</f>
        <v>0</v>
      </c>
      <c r="AE340" s="12" t="s">
        <v>58</v>
      </c>
    </row>
    <row r="341" ht="15.75" customHeight="1">
      <c r="A341" s="7" t="s">
        <v>190</v>
      </c>
      <c r="B341" s="7" t="s">
        <v>160</v>
      </c>
      <c r="C341" s="7" t="s">
        <v>235</v>
      </c>
      <c r="D341" s="13">
        <v>20271.0</v>
      </c>
      <c r="E341" s="7" t="s">
        <v>193</v>
      </c>
      <c r="F341" s="13"/>
      <c r="G341" s="14" t="s">
        <v>63</v>
      </c>
      <c r="H341" s="7" t="s">
        <v>230</v>
      </c>
      <c r="I341" s="7" t="s">
        <v>231</v>
      </c>
      <c r="J341" s="7" t="s">
        <v>70</v>
      </c>
      <c r="K341" s="15">
        <v>44531.0</v>
      </c>
      <c r="L341" s="15">
        <v>32468.0</v>
      </c>
      <c r="M341" s="13">
        <v>18433.0</v>
      </c>
      <c r="N341" s="7"/>
      <c r="O341" s="7"/>
      <c r="P341" s="7">
        <v>13.33</v>
      </c>
      <c r="Q341" s="7"/>
      <c r="R341" s="20"/>
      <c r="S341" s="7"/>
      <c r="T341" s="20"/>
      <c r="U341" s="16">
        <f>SUM(Template!$N341:$O341)*Template!$P341+Template!$Q341</f>
        <v>0</v>
      </c>
      <c r="V341" s="17" t="str">
        <f>IF(Template!$M341="CONSELHO","N",IF(Template!$AA341="N","N1",IF(Template!$AA341="N1","N2",IF(Template!$AA341="N2","N3",IF(Template!$AA341="N3","N4",IF(Template!$AA341="N4","N5",IF(Template!$AA341="N5","N6",IF(Template!$AA341="N6","N7",IF(Template!$AA341="N7","N8",IF(Template!$AA341="N8","N9",IF(Template!$AA341="N9","N10","NA")))))))))))</f>
        <v>N4</v>
      </c>
      <c r="W341" s="17">
        <f>COUNTIF(Template!$M$3:$M$619,Template!$D341)</f>
        <v>0</v>
      </c>
      <c r="X341" s="17" t="str">
        <f>IF(Template!$F341="","",SUMIF(Template!$M$3:$M$619,Template!$D341,Template!$AC$3:$AC$619))</f>
        <v/>
      </c>
      <c r="Y341" s="17" t="str">
        <f>IFERROR(VLOOKUP(Template!$M341,Template!$D$3:$G$619,MATCH("EmployeeJobTitle",Template!$D$2:$G$2,0),FALSE),"NA")</f>
        <v>GERENTE DE LOJA</v>
      </c>
      <c r="Z341" s="17" t="str">
        <f>IFERROR(VLOOKUP(Template!$M341,Template!$D$3:$G$619,MATCH("EmployeeGroup",Template!$D$2:$G$2,0),FALSE),"NA")</f>
        <v>GERENTE</v>
      </c>
      <c r="AA341" s="17" t="str">
        <f>IFERROR(VLOOKUP(Template!$M341,Template!$D$3:$V$619,MATCH("Layer",Template!$D$2:$V$2,0),FALSE),"NA")</f>
        <v>N3</v>
      </c>
      <c r="AB341" s="21">
        <f>VLOOKUP(Template!$M341,Template!$D$3:$F$619,MATCH("InternalGrade",Template!$D$2:$F$2,0),FALSE)-Template!$F341</f>
        <v>0</v>
      </c>
      <c r="AC341" s="17">
        <f>IF(Template!$AB341&lt;=1, 0.8,IF(Template!$AB341=2,0.4,IF(Template!$AB341=3,0.2,IF(Template!$AB341=4,0.1,IF(Template!$AB341&gt;=5,0.05,"erro")))))</f>
        <v>0.8</v>
      </c>
      <c r="AD341" s="17" t="b">
        <f>Template!$D341=Template!$M341</f>
        <v>0</v>
      </c>
      <c r="AE341" s="12" t="s">
        <v>58</v>
      </c>
    </row>
    <row r="342" ht="15.75" customHeight="1">
      <c r="A342" s="7" t="s">
        <v>190</v>
      </c>
      <c r="B342" s="7" t="s">
        <v>160</v>
      </c>
      <c r="C342" s="7" t="s">
        <v>235</v>
      </c>
      <c r="D342" s="13">
        <v>24630.0</v>
      </c>
      <c r="E342" s="7" t="s">
        <v>196</v>
      </c>
      <c r="F342" s="13"/>
      <c r="G342" s="14" t="s">
        <v>63</v>
      </c>
      <c r="H342" s="7" t="s">
        <v>230</v>
      </c>
      <c r="I342" s="7" t="s">
        <v>231</v>
      </c>
      <c r="J342" s="7" t="s">
        <v>70</v>
      </c>
      <c r="K342" s="15">
        <v>45261.0</v>
      </c>
      <c r="L342" s="15">
        <v>27332.0</v>
      </c>
      <c r="M342" s="13">
        <v>18433.0</v>
      </c>
      <c r="N342" s="7">
        <v>1673.0</v>
      </c>
      <c r="O342" s="7"/>
      <c r="P342" s="7">
        <v>13.33</v>
      </c>
      <c r="Q342" s="7"/>
      <c r="R342" s="20"/>
      <c r="S342" s="7"/>
      <c r="T342" s="20"/>
      <c r="U342" s="16">
        <f>SUM(Template!$N342:$O342)*Template!$P342+Template!$Q342</f>
        <v>22301.09</v>
      </c>
      <c r="V342" s="17" t="str">
        <f>IF(Template!$M342="CONSELHO","N",IF(Template!$AA342="N","N1",IF(Template!$AA342="N1","N2",IF(Template!$AA342="N2","N3",IF(Template!$AA342="N3","N4",IF(Template!$AA342="N4","N5",IF(Template!$AA342="N5","N6",IF(Template!$AA342="N6","N7",IF(Template!$AA342="N7","N8",IF(Template!$AA342="N8","N9",IF(Template!$AA342="N9","N10","NA")))))))))))</f>
        <v>N4</v>
      </c>
      <c r="W342" s="17">
        <f>COUNTIF(Template!$M$3:$M$619,Template!$D342)</f>
        <v>0</v>
      </c>
      <c r="X342" s="17" t="str">
        <f>IF(Template!$F342="","",SUMIF(Template!$M$3:$M$619,Template!$D342,Template!$AC$3:$AC$619))</f>
        <v/>
      </c>
      <c r="Y342" s="17" t="str">
        <f>IFERROR(VLOOKUP(Template!$M342,Template!$D$3:$G$619,MATCH("EmployeeJobTitle",Template!$D$2:$G$2,0),FALSE),"NA")</f>
        <v>GERENTE DE LOJA</v>
      </c>
      <c r="Z342" s="17" t="str">
        <f>IFERROR(VLOOKUP(Template!$M342,Template!$D$3:$G$619,MATCH("EmployeeGroup",Template!$D$2:$G$2,0),FALSE),"NA")</f>
        <v>GERENTE</v>
      </c>
      <c r="AA342" s="17" t="str">
        <f>IFERROR(VLOOKUP(Template!$M342,Template!$D$3:$V$619,MATCH("Layer",Template!$D$2:$V$2,0),FALSE),"NA")</f>
        <v>N3</v>
      </c>
      <c r="AB342" s="21">
        <f>VLOOKUP(Template!$M342,Template!$D$3:$F$619,MATCH("InternalGrade",Template!$D$2:$F$2,0),FALSE)-Template!$F342</f>
        <v>0</v>
      </c>
      <c r="AC342" s="17">
        <f>IF(Template!$AB342&lt;=1, 0.8,IF(Template!$AB342=2,0.4,IF(Template!$AB342=3,0.2,IF(Template!$AB342=4,0.1,IF(Template!$AB342&gt;=5,0.05,"erro")))))</f>
        <v>0.8</v>
      </c>
      <c r="AD342" s="17" t="b">
        <f>Template!$D342=Template!$M342</f>
        <v>0</v>
      </c>
      <c r="AE342" s="12" t="s">
        <v>58</v>
      </c>
    </row>
    <row r="343" ht="15.75" customHeight="1">
      <c r="A343" s="7" t="s">
        <v>190</v>
      </c>
      <c r="B343" s="7" t="s">
        <v>160</v>
      </c>
      <c r="C343" s="7" t="s">
        <v>235</v>
      </c>
      <c r="D343" s="13">
        <v>24348.0</v>
      </c>
      <c r="E343" s="7" t="s">
        <v>196</v>
      </c>
      <c r="F343" s="13"/>
      <c r="G343" s="14" t="s">
        <v>63</v>
      </c>
      <c r="H343" s="7" t="s">
        <v>230</v>
      </c>
      <c r="I343" s="7" t="s">
        <v>231</v>
      </c>
      <c r="J343" s="7" t="s">
        <v>70</v>
      </c>
      <c r="K343" s="15">
        <v>45208.0</v>
      </c>
      <c r="L343" s="15">
        <v>31433.0</v>
      </c>
      <c r="M343" s="13">
        <v>18433.0</v>
      </c>
      <c r="N343" s="7">
        <v>1684.0</v>
      </c>
      <c r="O343" s="7"/>
      <c r="P343" s="7">
        <v>13.33</v>
      </c>
      <c r="Q343" s="7"/>
      <c r="R343" s="20"/>
      <c r="S343" s="7"/>
      <c r="T343" s="20"/>
      <c r="U343" s="16">
        <f>SUM(Template!$N343:$O343)*Template!$P343+Template!$Q343</f>
        <v>22447.72</v>
      </c>
      <c r="V343" s="17" t="str">
        <f>IF(Template!$M343="CONSELHO","N",IF(Template!$AA343="N","N1",IF(Template!$AA343="N1","N2",IF(Template!$AA343="N2","N3",IF(Template!$AA343="N3","N4",IF(Template!$AA343="N4","N5",IF(Template!$AA343="N5","N6",IF(Template!$AA343="N6","N7",IF(Template!$AA343="N7","N8",IF(Template!$AA343="N8","N9",IF(Template!$AA343="N9","N10","NA")))))))))))</f>
        <v>N4</v>
      </c>
      <c r="W343" s="17">
        <f>COUNTIF(Template!$M$3:$M$619,Template!$D343)</f>
        <v>0</v>
      </c>
      <c r="X343" s="17" t="str">
        <f>IF(Template!$F343="","",SUMIF(Template!$M$3:$M$619,Template!$D343,Template!$AC$3:$AC$619))</f>
        <v/>
      </c>
      <c r="Y343" s="17" t="str">
        <f>IFERROR(VLOOKUP(Template!$M343,Template!$D$3:$G$619,MATCH("EmployeeJobTitle",Template!$D$2:$G$2,0),FALSE),"NA")</f>
        <v>GERENTE DE LOJA</v>
      </c>
      <c r="Z343" s="17" t="str">
        <f>IFERROR(VLOOKUP(Template!$M343,Template!$D$3:$G$619,MATCH("EmployeeGroup",Template!$D$2:$G$2,0),FALSE),"NA")</f>
        <v>GERENTE</v>
      </c>
      <c r="AA343" s="17" t="str">
        <f>IFERROR(VLOOKUP(Template!$M343,Template!$D$3:$V$619,MATCH("Layer",Template!$D$2:$V$2,0),FALSE),"NA")</f>
        <v>N3</v>
      </c>
      <c r="AB343" s="21">
        <f>VLOOKUP(Template!$M343,Template!$D$3:$F$619,MATCH("InternalGrade",Template!$D$2:$F$2,0),FALSE)-Template!$F343</f>
        <v>0</v>
      </c>
      <c r="AC343" s="17">
        <f>IF(Template!$AB343&lt;=1, 0.8,IF(Template!$AB343=2,0.4,IF(Template!$AB343=3,0.2,IF(Template!$AB343=4,0.1,IF(Template!$AB343&gt;=5,0.05,"erro")))))</f>
        <v>0.8</v>
      </c>
      <c r="AD343" s="17" t="b">
        <f>Template!$D343=Template!$M343</f>
        <v>0</v>
      </c>
      <c r="AE343" s="12" t="s">
        <v>58</v>
      </c>
    </row>
    <row r="344" ht="15.75" customHeight="1">
      <c r="A344" s="7" t="s">
        <v>190</v>
      </c>
      <c r="B344" s="7" t="s">
        <v>160</v>
      </c>
      <c r="C344" s="7" t="s">
        <v>235</v>
      </c>
      <c r="D344" s="13">
        <v>12928.0</v>
      </c>
      <c r="E344" s="7" t="s">
        <v>193</v>
      </c>
      <c r="F344" s="13"/>
      <c r="G344" s="14" t="s">
        <v>63</v>
      </c>
      <c r="H344" s="7" t="s">
        <v>230</v>
      </c>
      <c r="I344" s="7" t="s">
        <v>231</v>
      </c>
      <c r="J344" s="7" t="s">
        <v>70</v>
      </c>
      <c r="K344" s="15">
        <v>41561.0</v>
      </c>
      <c r="L344" s="15">
        <v>31156.0</v>
      </c>
      <c r="M344" s="13">
        <v>18433.0</v>
      </c>
      <c r="N344" s="7"/>
      <c r="O344" s="7"/>
      <c r="P344" s="7">
        <v>13.33</v>
      </c>
      <c r="Q344" s="7"/>
      <c r="R344" s="20"/>
      <c r="S344" s="7"/>
      <c r="T344" s="20"/>
      <c r="U344" s="16">
        <f>SUM(Template!$N344:$O344)*Template!$P344+Template!$Q344</f>
        <v>0</v>
      </c>
      <c r="V344" s="17" t="str">
        <f>IF(Template!$M344="CONSELHO","N",IF(Template!$AA344="N","N1",IF(Template!$AA344="N1","N2",IF(Template!$AA344="N2","N3",IF(Template!$AA344="N3","N4",IF(Template!$AA344="N4","N5",IF(Template!$AA344="N5","N6",IF(Template!$AA344="N6","N7",IF(Template!$AA344="N7","N8",IF(Template!$AA344="N8","N9",IF(Template!$AA344="N9","N10","NA")))))))))))</f>
        <v>N4</v>
      </c>
      <c r="W344" s="17">
        <f>COUNTIF(Template!$M$3:$M$619,Template!$D344)</f>
        <v>0</v>
      </c>
      <c r="X344" s="17" t="str">
        <f>IF(Template!$F344="","",SUMIF(Template!$M$3:$M$619,Template!$D344,Template!$AC$3:$AC$619))</f>
        <v/>
      </c>
      <c r="Y344" s="17" t="str">
        <f>IFERROR(VLOOKUP(Template!$M344,Template!$D$3:$G$619,MATCH("EmployeeJobTitle",Template!$D$2:$G$2,0),FALSE),"NA")</f>
        <v>GERENTE DE LOJA</v>
      </c>
      <c r="Z344" s="17" t="str">
        <f>IFERROR(VLOOKUP(Template!$M344,Template!$D$3:$G$619,MATCH("EmployeeGroup",Template!$D$2:$G$2,0),FALSE),"NA")</f>
        <v>GERENTE</v>
      </c>
      <c r="AA344" s="17" t="str">
        <f>IFERROR(VLOOKUP(Template!$M344,Template!$D$3:$V$619,MATCH("Layer",Template!$D$2:$V$2,0),FALSE),"NA")</f>
        <v>N3</v>
      </c>
      <c r="AB344" s="21">
        <f>VLOOKUP(Template!$M344,Template!$D$3:$F$619,MATCH("InternalGrade",Template!$D$2:$F$2,0),FALSE)-Template!$F344</f>
        <v>0</v>
      </c>
      <c r="AC344" s="17">
        <f>IF(Template!$AB344&lt;=1, 0.8,IF(Template!$AB344=2,0.4,IF(Template!$AB344=3,0.2,IF(Template!$AB344=4,0.1,IF(Template!$AB344&gt;=5,0.05,"erro")))))</f>
        <v>0.8</v>
      </c>
      <c r="AD344" s="17" t="b">
        <f>Template!$D344=Template!$M344</f>
        <v>0</v>
      </c>
      <c r="AE344" s="12" t="s">
        <v>58</v>
      </c>
    </row>
    <row r="345" ht="15.75" customHeight="1">
      <c r="A345" s="7" t="s">
        <v>190</v>
      </c>
      <c r="B345" s="7" t="s">
        <v>160</v>
      </c>
      <c r="C345" s="7" t="s">
        <v>235</v>
      </c>
      <c r="D345" s="13">
        <v>13868.0</v>
      </c>
      <c r="E345" s="7" t="s">
        <v>197</v>
      </c>
      <c r="F345" s="13"/>
      <c r="G345" s="22" t="s">
        <v>87</v>
      </c>
      <c r="H345" s="7" t="s">
        <v>230</v>
      </c>
      <c r="I345" s="7" t="s">
        <v>231</v>
      </c>
      <c r="J345" s="7" t="s">
        <v>70</v>
      </c>
      <c r="K345" s="15">
        <v>41974.0</v>
      </c>
      <c r="L345" s="15">
        <v>30657.0</v>
      </c>
      <c r="M345" s="13">
        <v>18433.0</v>
      </c>
      <c r="N345" s="7"/>
      <c r="O345" s="7"/>
      <c r="P345" s="7">
        <v>13.33</v>
      </c>
      <c r="Q345" s="7"/>
      <c r="R345" s="20"/>
      <c r="S345" s="7"/>
      <c r="T345" s="20"/>
      <c r="U345" s="16">
        <f>SUM(Template!$N345:$O345)*Template!$P345+Template!$Q345</f>
        <v>0</v>
      </c>
      <c r="V345" s="17" t="str">
        <f>IF(Template!$M345="CONSELHO","N",IF(Template!$AA345="N","N1",IF(Template!$AA345="N1","N2",IF(Template!$AA345="N2","N3",IF(Template!$AA345="N3","N4",IF(Template!$AA345="N4","N5",IF(Template!$AA345="N5","N6",IF(Template!$AA345="N6","N7",IF(Template!$AA345="N7","N8",IF(Template!$AA345="N8","N9",IF(Template!$AA345="N9","N10","NA")))))))))))</f>
        <v>N4</v>
      </c>
      <c r="W345" s="17">
        <f>COUNTIF(Template!$M$3:$M$619,Template!$D345)</f>
        <v>0</v>
      </c>
      <c r="X345" s="17" t="str">
        <f>IF(Template!$F345="","",SUMIF(Template!$M$3:$M$619,Template!$D345,Template!$AC$3:$AC$619))</f>
        <v/>
      </c>
      <c r="Y345" s="17" t="str">
        <f>IFERROR(VLOOKUP(Template!$M345,Template!$D$3:$G$619,MATCH("EmployeeJobTitle",Template!$D$2:$G$2,0),FALSE),"NA")</f>
        <v>GERENTE DE LOJA</v>
      </c>
      <c r="Z345" s="17" t="str">
        <f>IFERROR(VLOOKUP(Template!$M345,Template!$D$3:$G$619,MATCH("EmployeeGroup",Template!$D$2:$G$2,0),FALSE),"NA")</f>
        <v>GERENTE</v>
      </c>
      <c r="AA345" s="17" t="str">
        <f>IFERROR(VLOOKUP(Template!$M345,Template!$D$3:$V$619,MATCH("Layer",Template!$D$2:$V$2,0),FALSE),"NA")</f>
        <v>N3</v>
      </c>
      <c r="AB345" s="21">
        <f>VLOOKUP(Template!$M345,Template!$D$3:$F$619,MATCH("InternalGrade",Template!$D$2:$F$2,0),FALSE)-Template!$F345</f>
        <v>0</v>
      </c>
      <c r="AC345" s="17">
        <f>IF(Template!$AB345&lt;=1, 0.8,IF(Template!$AB345=2,0.4,IF(Template!$AB345=3,0.2,IF(Template!$AB345=4,0.1,IF(Template!$AB345&gt;=5,0.05,"erro")))))</f>
        <v>0.8</v>
      </c>
      <c r="AD345" s="17" t="b">
        <f>Template!$D345=Template!$M345</f>
        <v>0</v>
      </c>
      <c r="AE345" s="12" t="s">
        <v>58</v>
      </c>
    </row>
    <row r="346" ht="15.75" customHeight="1">
      <c r="A346" s="7" t="s">
        <v>190</v>
      </c>
      <c r="B346" s="7" t="s">
        <v>160</v>
      </c>
      <c r="C346" s="7" t="s">
        <v>235</v>
      </c>
      <c r="D346" s="13">
        <v>18433.0</v>
      </c>
      <c r="E346" s="7" t="s">
        <v>199</v>
      </c>
      <c r="F346" s="13"/>
      <c r="G346" s="22" t="s">
        <v>200</v>
      </c>
      <c r="H346" s="7" t="s">
        <v>230</v>
      </c>
      <c r="I346" s="7" t="s">
        <v>231</v>
      </c>
      <c r="J346" s="7" t="s">
        <v>70</v>
      </c>
      <c r="K346" s="15">
        <v>43895.0</v>
      </c>
      <c r="L346" s="15">
        <v>28491.0</v>
      </c>
      <c r="M346" s="13">
        <v>12404.0</v>
      </c>
      <c r="N346" s="7">
        <v>5731.0</v>
      </c>
      <c r="O346" s="7"/>
      <c r="P346" s="7">
        <v>13.33</v>
      </c>
      <c r="Q346" s="7"/>
      <c r="R346" s="20"/>
      <c r="S346" s="7"/>
      <c r="T346" s="20"/>
      <c r="U346" s="16">
        <f>SUM(Template!$N346:$O346)*Template!$P346+Template!$Q346</f>
        <v>76394.23</v>
      </c>
      <c r="V346" s="17" t="str">
        <f>IF(Template!$M346="CONSELHO","N",IF(Template!$AA346="N","N1",IF(Template!$AA346="N1","N2",IF(Template!$AA346="N2","N3",IF(Template!$AA346="N3","N4",IF(Template!$AA346="N4","N5",IF(Template!$AA346="N5","N6",IF(Template!$AA346="N6","N7",IF(Template!$AA346="N7","N8",IF(Template!$AA346="N8","N9",IF(Template!$AA346="N9","N10","NA")))))))))))</f>
        <v>N3</v>
      </c>
      <c r="W346" s="17">
        <f>COUNTIF(Template!$M$3:$M$619,Template!$D346)</f>
        <v>10</v>
      </c>
      <c r="X346" s="17" t="str">
        <f>IF(Template!$F346="","",SUMIF(Template!$M$3:$M$619,Template!$D346,Template!$AC$3:$AC$619))</f>
        <v/>
      </c>
      <c r="Y346" s="17" t="str">
        <f>IFERROR(VLOOKUP(Template!$M346,Template!$D$3:$G$619,MATCH("EmployeeJobTitle",Template!$D$2:$G$2,0),FALSE),"NA")</f>
        <v>GERENTE COMERCIAL</v>
      </c>
      <c r="Z346" s="17" t="str">
        <f>IFERROR(VLOOKUP(Template!$M346,Template!$D$3:$G$619,MATCH("EmployeeGroup",Template!$D$2:$G$2,0),FALSE),"NA")</f>
        <v>Coordenador</v>
      </c>
      <c r="AA346" s="17" t="str">
        <f>IFERROR(VLOOKUP(Template!$M346,Template!$D$3:$V$619,MATCH("Layer",Template!$D$2:$V$2,0),FALSE),"NA")</f>
        <v>N2</v>
      </c>
      <c r="AB346" s="21">
        <f>VLOOKUP(Template!$M346,Template!$D$3:$F$619,MATCH("InternalGrade",Template!$D$2:$F$2,0),FALSE)-Template!$F346</f>
        <v>19</v>
      </c>
      <c r="AC346" s="17">
        <f>IF(Template!$AB346&lt;=1, 0.8,IF(Template!$AB346=2,0.4,IF(Template!$AB346=3,0.2,IF(Template!$AB346=4,0.1,IF(Template!$AB346&gt;=5,0.05,"erro")))))</f>
        <v>0.05</v>
      </c>
      <c r="AD346" s="17" t="b">
        <f>Template!$D346=Template!$M346</f>
        <v>0</v>
      </c>
      <c r="AE346" s="12" t="s">
        <v>58</v>
      </c>
    </row>
    <row r="347" ht="15.75" customHeight="1">
      <c r="A347" s="7" t="s">
        <v>190</v>
      </c>
      <c r="B347" s="7" t="s">
        <v>160</v>
      </c>
      <c r="C347" s="7" t="s">
        <v>235</v>
      </c>
      <c r="D347" s="13">
        <v>24932.0</v>
      </c>
      <c r="E347" s="7" t="s">
        <v>193</v>
      </c>
      <c r="F347" s="13"/>
      <c r="G347" s="14" t="s">
        <v>63</v>
      </c>
      <c r="H347" s="7" t="s">
        <v>230</v>
      </c>
      <c r="I347" s="7" t="s">
        <v>231</v>
      </c>
      <c r="J347" s="7" t="s">
        <v>70</v>
      </c>
      <c r="K347" s="15">
        <v>45369.0</v>
      </c>
      <c r="L347" s="15">
        <v>34192.0</v>
      </c>
      <c r="M347" s="13">
        <v>18433.0</v>
      </c>
      <c r="N347" s="7"/>
      <c r="O347" s="7"/>
      <c r="P347" s="7">
        <v>13.33</v>
      </c>
      <c r="Q347" s="7"/>
      <c r="R347" s="20"/>
      <c r="S347" s="7"/>
      <c r="T347" s="20"/>
      <c r="U347" s="16">
        <f>SUM(Template!$N347:$O347)*Template!$P347+Template!$Q347</f>
        <v>0</v>
      </c>
      <c r="V347" s="17" t="str">
        <f>IF(Template!$M347="CONSELHO","N",IF(Template!$AA347="N","N1",IF(Template!$AA347="N1","N2",IF(Template!$AA347="N2","N3",IF(Template!$AA347="N3","N4",IF(Template!$AA347="N4","N5",IF(Template!$AA347="N5","N6",IF(Template!$AA347="N6","N7",IF(Template!$AA347="N7","N8",IF(Template!$AA347="N8","N9",IF(Template!$AA347="N9","N10","NA")))))))))))</f>
        <v>N4</v>
      </c>
      <c r="W347" s="17">
        <f>COUNTIF(Template!$M$3:$M$619,Template!$D347)</f>
        <v>0</v>
      </c>
      <c r="X347" s="17" t="str">
        <f>IF(Template!$F347="","",SUMIF(Template!$M$3:$M$619,Template!$D347,Template!$AC$3:$AC$619))</f>
        <v/>
      </c>
      <c r="Y347" s="17" t="str">
        <f>IFERROR(VLOOKUP(Template!$M347,Template!$D$3:$G$619,MATCH("EmployeeJobTitle",Template!$D$2:$G$2,0),FALSE),"NA")</f>
        <v>GERENTE DE LOJA</v>
      </c>
      <c r="Z347" s="17" t="str">
        <f>IFERROR(VLOOKUP(Template!$M347,Template!$D$3:$G$619,MATCH("EmployeeGroup",Template!$D$2:$G$2,0),FALSE),"NA")</f>
        <v>GERENTE</v>
      </c>
      <c r="AA347" s="17" t="str">
        <f>IFERROR(VLOOKUP(Template!$M347,Template!$D$3:$V$619,MATCH("Layer",Template!$D$2:$V$2,0),FALSE),"NA")</f>
        <v>N3</v>
      </c>
      <c r="AB347" s="21">
        <f>VLOOKUP(Template!$M347,Template!$D$3:$F$619,MATCH("InternalGrade",Template!$D$2:$F$2,0),FALSE)-Template!$F347</f>
        <v>0</v>
      </c>
      <c r="AC347" s="17">
        <f>IF(Template!$AB347&lt;=1, 0.8,IF(Template!$AB347=2,0.4,IF(Template!$AB347=3,0.2,IF(Template!$AB347=4,0.1,IF(Template!$AB347&gt;=5,0.05,"erro")))))</f>
        <v>0.8</v>
      </c>
      <c r="AD347" s="17" t="b">
        <f>Template!$D347=Template!$M347</f>
        <v>0</v>
      </c>
      <c r="AE347" s="12" t="s">
        <v>58</v>
      </c>
    </row>
    <row r="348" ht="15.75" customHeight="1">
      <c r="A348" s="7" t="s">
        <v>190</v>
      </c>
      <c r="B348" s="7" t="s">
        <v>160</v>
      </c>
      <c r="C348" s="7" t="s">
        <v>235</v>
      </c>
      <c r="D348" s="13">
        <v>19620.0</v>
      </c>
      <c r="E348" s="7" t="s">
        <v>193</v>
      </c>
      <c r="F348" s="13"/>
      <c r="G348" s="14" t="s">
        <v>63</v>
      </c>
      <c r="H348" s="7" t="s">
        <v>230</v>
      </c>
      <c r="I348" s="7" t="s">
        <v>231</v>
      </c>
      <c r="J348" s="7" t="s">
        <v>70</v>
      </c>
      <c r="K348" s="15">
        <v>44361.0</v>
      </c>
      <c r="L348" s="15">
        <v>32480.0</v>
      </c>
      <c r="M348" s="13">
        <v>18433.0</v>
      </c>
      <c r="N348" s="7"/>
      <c r="O348" s="7"/>
      <c r="P348" s="7">
        <v>13.33</v>
      </c>
      <c r="Q348" s="7"/>
      <c r="R348" s="20"/>
      <c r="S348" s="7"/>
      <c r="T348" s="20"/>
      <c r="U348" s="16">
        <f>SUM(Template!$N348:$O348)*Template!$P348+Template!$Q348</f>
        <v>0</v>
      </c>
      <c r="V348" s="17" t="str">
        <f>IF(Template!$M348="CONSELHO","N",IF(Template!$AA348="N","N1",IF(Template!$AA348="N1","N2",IF(Template!$AA348="N2","N3",IF(Template!$AA348="N3","N4",IF(Template!$AA348="N4","N5",IF(Template!$AA348="N5","N6",IF(Template!$AA348="N6","N7",IF(Template!$AA348="N7","N8",IF(Template!$AA348="N8","N9",IF(Template!$AA348="N9","N10","NA")))))))))))</f>
        <v>N4</v>
      </c>
      <c r="W348" s="17">
        <f>COUNTIF(Template!$M$3:$M$619,Template!$D348)</f>
        <v>0</v>
      </c>
      <c r="X348" s="17" t="str">
        <f>IF(Template!$F348="","",SUMIF(Template!$M$3:$M$619,Template!$D348,Template!$AC$3:$AC$619))</f>
        <v/>
      </c>
      <c r="Y348" s="17" t="str">
        <f>IFERROR(VLOOKUP(Template!$M348,Template!$D$3:$G$619,MATCH("EmployeeJobTitle",Template!$D$2:$G$2,0),FALSE),"NA")</f>
        <v>GERENTE DE LOJA</v>
      </c>
      <c r="Z348" s="17" t="str">
        <f>IFERROR(VLOOKUP(Template!$M348,Template!$D$3:$G$619,MATCH("EmployeeGroup",Template!$D$2:$G$2,0),FALSE),"NA")</f>
        <v>GERENTE</v>
      </c>
      <c r="AA348" s="17" t="str">
        <f>IFERROR(VLOOKUP(Template!$M348,Template!$D$3:$V$619,MATCH("Layer",Template!$D$2:$V$2,0),FALSE),"NA")</f>
        <v>N3</v>
      </c>
      <c r="AB348" s="21">
        <f>VLOOKUP(Template!$M348,Template!$D$3:$F$619,MATCH("InternalGrade",Template!$D$2:$F$2,0),FALSE)-Template!$F348</f>
        <v>0</v>
      </c>
      <c r="AC348" s="17">
        <f>IF(Template!$AB348&lt;=1, 0.8,IF(Template!$AB348=2,0.4,IF(Template!$AB348=3,0.2,IF(Template!$AB348=4,0.1,IF(Template!$AB348&gt;=5,0.05,"erro")))))</f>
        <v>0.8</v>
      </c>
      <c r="AD348" s="17" t="b">
        <f>Template!$D348=Template!$M348</f>
        <v>0</v>
      </c>
      <c r="AE348" s="12" t="s">
        <v>58</v>
      </c>
    </row>
    <row r="349" ht="15.75" customHeight="1">
      <c r="A349" s="7" t="s">
        <v>190</v>
      </c>
      <c r="B349" s="7" t="s">
        <v>160</v>
      </c>
      <c r="C349" s="7" t="s">
        <v>235</v>
      </c>
      <c r="D349" s="13">
        <v>23898.0</v>
      </c>
      <c r="E349" s="7" t="s">
        <v>193</v>
      </c>
      <c r="F349" s="13"/>
      <c r="G349" s="14" t="s">
        <v>63</v>
      </c>
      <c r="H349" s="7" t="s">
        <v>230</v>
      </c>
      <c r="I349" s="7" t="s">
        <v>231</v>
      </c>
      <c r="J349" s="7" t="s">
        <v>70</v>
      </c>
      <c r="K349" s="15">
        <v>45005.0</v>
      </c>
      <c r="L349" s="15">
        <v>33407.0</v>
      </c>
      <c r="M349" s="13">
        <v>18433.0</v>
      </c>
      <c r="N349" s="7"/>
      <c r="O349" s="7"/>
      <c r="P349" s="7">
        <v>13.33</v>
      </c>
      <c r="Q349" s="7"/>
      <c r="R349" s="20"/>
      <c r="S349" s="7"/>
      <c r="T349" s="20"/>
      <c r="U349" s="16">
        <f>SUM(Template!$N349:$O349)*Template!$P349+Template!$Q349</f>
        <v>0</v>
      </c>
      <c r="V349" s="17" t="str">
        <f>IF(Template!$M349="CONSELHO","N",IF(Template!$AA349="N","N1",IF(Template!$AA349="N1","N2",IF(Template!$AA349="N2","N3",IF(Template!$AA349="N3","N4",IF(Template!$AA349="N4","N5",IF(Template!$AA349="N5","N6",IF(Template!$AA349="N6","N7",IF(Template!$AA349="N7","N8",IF(Template!$AA349="N8","N9",IF(Template!$AA349="N9","N10","NA")))))))))))</f>
        <v>N4</v>
      </c>
      <c r="W349" s="17">
        <f>COUNTIF(Template!$M$3:$M$619,Template!$D349)</f>
        <v>0</v>
      </c>
      <c r="X349" s="17" t="str">
        <f>IF(Template!$F349="","",SUMIF(Template!$M$3:$M$619,Template!$D349,Template!$AC$3:$AC$619))</f>
        <v/>
      </c>
      <c r="Y349" s="17" t="str">
        <f>IFERROR(VLOOKUP(Template!$M349,Template!$D$3:$G$619,MATCH("EmployeeJobTitle",Template!$D$2:$G$2,0),FALSE),"NA")</f>
        <v>GERENTE DE LOJA</v>
      </c>
      <c r="Z349" s="17" t="str">
        <f>IFERROR(VLOOKUP(Template!$M349,Template!$D$3:$G$619,MATCH("EmployeeGroup",Template!$D$2:$G$2,0),FALSE),"NA")</f>
        <v>GERENTE</v>
      </c>
      <c r="AA349" s="17" t="str">
        <f>IFERROR(VLOOKUP(Template!$M349,Template!$D$3:$V$619,MATCH("Layer",Template!$D$2:$V$2,0),FALSE),"NA")</f>
        <v>N3</v>
      </c>
      <c r="AB349" s="21">
        <f>VLOOKUP(Template!$M349,Template!$D$3:$F$619,MATCH("InternalGrade",Template!$D$2:$F$2,0),FALSE)-Template!$F349</f>
        <v>0</v>
      </c>
      <c r="AC349" s="17">
        <f>IF(Template!$AB349&lt;=1, 0.8,IF(Template!$AB349=2,0.4,IF(Template!$AB349=3,0.2,IF(Template!$AB349=4,0.1,IF(Template!$AB349&gt;=5,0.05,"erro")))))</f>
        <v>0.8</v>
      </c>
      <c r="AD349" s="17" t="b">
        <f>Template!$D349=Template!$M349</f>
        <v>0</v>
      </c>
      <c r="AE349" s="12" t="s">
        <v>58</v>
      </c>
    </row>
    <row r="350" ht="15.75" customHeight="1">
      <c r="A350" s="7" t="s">
        <v>190</v>
      </c>
      <c r="B350" s="7" t="s">
        <v>191</v>
      </c>
      <c r="C350" s="7" t="s">
        <v>236</v>
      </c>
      <c r="D350" s="13">
        <v>22557.0</v>
      </c>
      <c r="E350" s="7" t="s">
        <v>193</v>
      </c>
      <c r="F350" s="13"/>
      <c r="G350" s="14" t="s">
        <v>63</v>
      </c>
      <c r="H350" s="7" t="s">
        <v>237</v>
      </c>
      <c r="I350" s="7" t="s">
        <v>238</v>
      </c>
      <c r="J350" s="7" t="s">
        <v>70</v>
      </c>
      <c r="K350" s="15">
        <v>44882.0</v>
      </c>
      <c r="L350" s="15">
        <v>34646.0</v>
      </c>
      <c r="M350" s="13">
        <v>12919.0</v>
      </c>
      <c r="N350" s="7"/>
      <c r="O350" s="7"/>
      <c r="P350" s="7">
        <v>13.33</v>
      </c>
      <c r="Q350" s="7"/>
      <c r="R350" s="20"/>
      <c r="S350" s="7"/>
      <c r="T350" s="20"/>
      <c r="U350" s="16">
        <f>SUM(Template!$N350:$O350)*Template!$P350+Template!$Q350</f>
        <v>0</v>
      </c>
      <c r="V350" s="17" t="str">
        <f>IF(Template!$M350="CONSELHO","N",IF(Template!$AA350="N","N1",IF(Template!$AA350="N1","N2",IF(Template!$AA350="N2","N3",IF(Template!$AA350="N3","N4",IF(Template!$AA350="N4","N5",IF(Template!$AA350="N5","N6",IF(Template!$AA350="N6","N7",IF(Template!$AA350="N7","N8",IF(Template!$AA350="N8","N9",IF(Template!$AA350="N9","N10","NA")))))))))))</f>
        <v>N4</v>
      </c>
      <c r="W350" s="17">
        <f>COUNTIF(Template!$M$3:$M$619,Template!$D350)</f>
        <v>0</v>
      </c>
      <c r="X350" s="17" t="str">
        <f>IF(Template!$F350="","",SUMIF(Template!$M$3:$M$619,Template!$D350,Template!$AC$3:$AC$619))</f>
        <v/>
      </c>
      <c r="Y350" s="17" t="str">
        <f>IFERROR(VLOOKUP(Template!$M350,Template!$D$3:$G$619,MATCH("EmployeeJobTitle",Template!$D$2:$G$2,0),FALSE),"NA")</f>
        <v>GERENTE DE LOJA</v>
      </c>
      <c r="Z350" s="17" t="str">
        <f>IFERROR(VLOOKUP(Template!$M350,Template!$D$3:$G$619,MATCH("EmployeeGroup",Template!$D$2:$G$2,0),FALSE),"NA")</f>
        <v>GERENTE</v>
      </c>
      <c r="AA350" s="17" t="str">
        <f>IFERROR(VLOOKUP(Template!$M350,Template!$D$3:$V$619,MATCH("Layer",Template!$D$2:$V$2,0),FALSE),"NA")</f>
        <v>N3</v>
      </c>
      <c r="AB350" s="21">
        <f>VLOOKUP(Template!$M350,Template!$D$3:$F$619,MATCH("InternalGrade",Template!$D$2:$F$2,0),FALSE)-Template!$F350</f>
        <v>0</v>
      </c>
      <c r="AC350" s="17">
        <f>IF(Template!$AB350&lt;=1, 0.8,IF(Template!$AB350=2,0.4,IF(Template!$AB350=3,0.2,IF(Template!$AB350=4,0.1,IF(Template!$AB350&gt;=5,0.05,"erro")))))</f>
        <v>0.8</v>
      </c>
      <c r="AD350" s="17" t="b">
        <f>Template!$D350=Template!$M350</f>
        <v>0</v>
      </c>
      <c r="AE350" s="12" t="s">
        <v>58</v>
      </c>
    </row>
    <row r="351" ht="15.75" customHeight="1">
      <c r="A351" s="7" t="s">
        <v>190</v>
      </c>
      <c r="B351" s="7" t="s">
        <v>191</v>
      </c>
      <c r="C351" s="7" t="s">
        <v>236</v>
      </c>
      <c r="D351" s="13">
        <v>17167.0</v>
      </c>
      <c r="E351" s="7" t="s">
        <v>197</v>
      </c>
      <c r="F351" s="13"/>
      <c r="G351" s="22" t="s">
        <v>87</v>
      </c>
      <c r="H351" s="7"/>
      <c r="I351" s="7"/>
      <c r="J351" s="7" t="s">
        <v>70</v>
      </c>
      <c r="K351" s="15">
        <v>43416.0</v>
      </c>
      <c r="L351" s="15">
        <v>34316.0</v>
      </c>
      <c r="M351" s="13">
        <v>12919.0</v>
      </c>
      <c r="N351" s="7"/>
      <c r="O351" s="7"/>
      <c r="P351" s="7">
        <v>13.33</v>
      </c>
      <c r="Q351" s="7"/>
      <c r="R351" s="20"/>
      <c r="S351" s="7"/>
      <c r="T351" s="20"/>
      <c r="U351" s="16">
        <f>SUM(Template!$N351:$O351)*Template!$P351+Template!$Q351</f>
        <v>0</v>
      </c>
      <c r="V351" s="17" t="str">
        <f>IF(Template!$M351="CONSELHO","N",IF(Template!$AA351="N","N1",IF(Template!$AA351="N1","N2",IF(Template!$AA351="N2","N3",IF(Template!$AA351="N3","N4",IF(Template!$AA351="N4","N5",IF(Template!$AA351="N5","N6",IF(Template!$AA351="N6","N7",IF(Template!$AA351="N7","N8",IF(Template!$AA351="N8","N9",IF(Template!$AA351="N9","N10","NA")))))))))))</f>
        <v>N4</v>
      </c>
      <c r="W351" s="17">
        <f>COUNTIF(Template!$M$3:$M$619,Template!$D351)</f>
        <v>0</v>
      </c>
      <c r="X351" s="17" t="str">
        <f>IF(Template!$F351="","",SUMIF(Template!$M$3:$M$619,Template!$D351,Template!$AC$3:$AC$619))</f>
        <v/>
      </c>
      <c r="Y351" s="17" t="str">
        <f>IFERROR(VLOOKUP(Template!$M351,Template!$D$3:$G$619,MATCH("EmployeeJobTitle",Template!$D$2:$G$2,0),FALSE),"NA")</f>
        <v>GERENTE DE LOJA</v>
      </c>
      <c r="Z351" s="17" t="str">
        <f>IFERROR(VLOOKUP(Template!$M351,Template!$D$3:$G$619,MATCH("EmployeeGroup",Template!$D$2:$G$2,0),FALSE),"NA")</f>
        <v>GERENTE</v>
      </c>
      <c r="AA351" s="17" t="str">
        <f>IFERROR(VLOOKUP(Template!$M351,Template!$D$3:$V$619,MATCH("Layer",Template!$D$2:$V$2,0),FALSE),"NA")</f>
        <v>N3</v>
      </c>
      <c r="AB351" s="21">
        <f>VLOOKUP(Template!$M351,Template!$D$3:$F$619,MATCH("InternalGrade",Template!$D$2:$F$2,0),FALSE)-Template!$F351</f>
        <v>0</v>
      </c>
      <c r="AC351" s="17">
        <f>IF(Template!$AB351&lt;=1, 0.8,IF(Template!$AB351=2,0.4,IF(Template!$AB351=3,0.2,IF(Template!$AB351=4,0.1,IF(Template!$AB351&gt;=5,0.05,"erro")))))</f>
        <v>0.8</v>
      </c>
      <c r="AD351" s="17" t="b">
        <f>Template!$D351=Template!$M351</f>
        <v>0</v>
      </c>
      <c r="AE351" s="12" t="s">
        <v>58</v>
      </c>
    </row>
    <row r="352" ht="15.75" customHeight="1">
      <c r="A352" s="7" t="s">
        <v>190</v>
      </c>
      <c r="B352" s="7" t="s">
        <v>191</v>
      </c>
      <c r="C352" s="7" t="s">
        <v>236</v>
      </c>
      <c r="D352" s="13">
        <v>24116.0</v>
      </c>
      <c r="E352" s="7" t="s">
        <v>196</v>
      </c>
      <c r="F352" s="13"/>
      <c r="G352" s="14" t="s">
        <v>63</v>
      </c>
      <c r="H352" s="7" t="s">
        <v>237</v>
      </c>
      <c r="I352" s="7" t="s">
        <v>238</v>
      </c>
      <c r="J352" s="7" t="s">
        <v>70</v>
      </c>
      <c r="K352" s="15">
        <v>45110.0</v>
      </c>
      <c r="L352" s="15">
        <v>36799.0</v>
      </c>
      <c r="M352" s="13">
        <v>12919.0</v>
      </c>
      <c r="N352" s="7">
        <v>1836.0</v>
      </c>
      <c r="O352" s="7"/>
      <c r="P352" s="7">
        <v>13.33</v>
      </c>
      <c r="Q352" s="7"/>
      <c r="R352" s="20"/>
      <c r="S352" s="7"/>
      <c r="T352" s="20"/>
      <c r="U352" s="16">
        <f>SUM(Template!$N352:$O352)*Template!$P352+Template!$Q352</f>
        <v>24473.88</v>
      </c>
      <c r="V352" s="17" t="str">
        <f>IF(Template!$M352="CONSELHO","N",IF(Template!$AA352="N","N1",IF(Template!$AA352="N1","N2",IF(Template!$AA352="N2","N3",IF(Template!$AA352="N3","N4",IF(Template!$AA352="N4","N5",IF(Template!$AA352="N5","N6",IF(Template!$AA352="N6","N7",IF(Template!$AA352="N7","N8",IF(Template!$AA352="N8","N9",IF(Template!$AA352="N9","N10","NA")))))))))))</f>
        <v>N4</v>
      </c>
      <c r="W352" s="17">
        <f>COUNTIF(Template!$M$3:$M$619,Template!$D352)</f>
        <v>0</v>
      </c>
      <c r="X352" s="17" t="str">
        <f>IF(Template!$F352="","",SUMIF(Template!$M$3:$M$619,Template!$D352,Template!$AC$3:$AC$619))</f>
        <v/>
      </c>
      <c r="Y352" s="17" t="str">
        <f>IFERROR(VLOOKUP(Template!$M352,Template!$D$3:$G$619,MATCH("EmployeeJobTitle",Template!$D$2:$G$2,0),FALSE),"NA")</f>
        <v>GERENTE DE LOJA</v>
      </c>
      <c r="Z352" s="17" t="str">
        <f>IFERROR(VLOOKUP(Template!$M352,Template!$D$3:$G$619,MATCH("EmployeeGroup",Template!$D$2:$G$2,0),FALSE),"NA")</f>
        <v>GERENTE</v>
      </c>
      <c r="AA352" s="17" t="str">
        <f>IFERROR(VLOOKUP(Template!$M352,Template!$D$3:$V$619,MATCH("Layer",Template!$D$2:$V$2,0),FALSE),"NA")</f>
        <v>N3</v>
      </c>
      <c r="AB352" s="21">
        <f>VLOOKUP(Template!$M352,Template!$D$3:$F$619,MATCH("InternalGrade",Template!$D$2:$F$2,0),FALSE)-Template!$F352</f>
        <v>0</v>
      </c>
      <c r="AC352" s="17">
        <f>IF(Template!$AB352&lt;=1, 0.8,IF(Template!$AB352=2,0.4,IF(Template!$AB352=3,0.2,IF(Template!$AB352=4,0.1,IF(Template!$AB352&gt;=5,0.05,"erro")))))</f>
        <v>0.8</v>
      </c>
      <c r="AD352" s="17" t="b">
        <f>Template!$D352=Template!$M352</f>
        <v>0</v>
      </c>
      <c r="AE352" s="12" t="s">
        <v>58</v>
      </c>
    </row>
    <row r="353" ht="15.75" customHeight="1">
      <c r="A353" s="7" t="s">
        <v>190</v>
      </c>
      <c r="B353" s="7" t="s">
        <v>191</v>
      </c>
      <c r="C353" s="7" t="s">
        <v>236</v>
      </c>
      <c r="D353" s="13">
        <v>24207.0</v>
      </c>
      <c r="E353" s="7" t="s">
        <v>193</v>
      </c>
      <c r="F353" s="13"/>
      <c r="G353" s="14" t="s">
        <v>63</v>
      </c>
      <c r="H353" s="7" t="s">
        <v>237</v>
      </c>
      <c r="I353" s="7" t="s">
        <v>238</v>
      </c>
      <c r="J353" s="7" t="s">
        <v>70</v>
      </c>
      <c r="K353" s="15">
        <v>45145.0</v>
      </c>
      <c r="L353" s="15">
        <v>30651.0</v>
      </c>
      <c r="M353" s="13">
        <v>12919.0</v>
      </c>
      <c r="N353" s="7"/>
      <c r="O353" s="7"/>
      <c r="P353" s="7">
        <v>13.33</v>
      </c>
      <c r="Q353" s="7"/>
      <c r="R353" s="20"/>
      <c r="S353" s="7"/>
      <c r="T353" s="20"/>
      <c r="U353" s="16">
        <f>SUM(Template!$N353:$O353)*Template!$P353+Template!$Q353</f>
        <v>0</v>
      </c>
      <c r="V353" s="17" t="str">
        <f>IF(Template!$M353="CONSELHO","N",IF(Template!$AA353="N","N1",IF(Template!$AA353="N1","N2",IF(Template!$AA353="N2","N3",IF(Template!$AA353="N3","N4",IF(Template!$AA353="N4","N5",IF(Template!$AA353="N5","N6",IF(Template!$AA353="N6","N7",IF(Template!$AA353="N7","N8",IF(Template!$AA353="N8","N9",IF(Template!$AA353="N9","N10","NA")))))))))))</f>
        <v>N4</v>
      </c>
      <c r="W353" s="17">
        <f>COUNTIF(Template!$M$3:$M$619,Template!$D353)</f>
        <v>0</v>
      </c>
      <c r="X353" s="17" t="str">
        <f>IF(Template!$F353="","",SUMIF(Template!$M$3:$M$619,Template!$D353,Template!$AC$3:$AC$619))</f>
        <v/>
      </c>
      <c r="Y353" s="17" t="str">
        <f>IFERROR(VLOOKUP(Template!$M353,Template!$D$3:$G$619,MATCH("EmployeeJobTitle",Template!$D$2:$G$2,0),FALSE),"NA")</f>
        <v>GERENTE DE LOJA</v>
      </c>
      <c r="Z353" s="17" t="str">
        <f>IFERROR(VLOOKUP(Template!$M353,Template!$D$3:$G$619,MATCH("EmployeeGroup",Template!$D$2:$G$2,0),FALSE),"NA")</f>
        <v>GERENTE</v>
      </c>
      <c r="AA353" s="17" t="str">
        <f>IFERROR(VLOOKUP(Template!$M353,Template!$D$3:$V$619,MATCH("Layer",Template!$D$2:$V$2,0),FALSE),"NA")</f>
        <v>N3</v>
      </c>
      <c r="AB353" s="21">
        <f>VLOOKUP(Template!$M353,Template!$D$3:$F$619,MATCH("InternalGrade",Template!$D$2:$F$2,0),FALSE)-Template!$F353</f>
        <v>0</v>
      </c>
      <c r="AC353" s="17">
        <f>IF(Template!$AB353&lt;=1, 0.8,IF(Template!$AB353=2,0.4,IF(Template!$AB353=3,0.2,IF(Template!$AB353=4,0.1,IF(Template!$AB353&gt;=5,0.05,"erro")))))</f>
        <v>0.8</v>
      </c>
      <c r="AD353" s="17" t="b">
        <f>Template!$D353=Template!$M353</f>
        <v>0</v>
      </c>
      <c r="AE353" s="12" t="s">
        <v>58</v>
      </c>
    </row>
    <row r="354" ht="15.75" customHeight="1">
      <c r="A354" s="7" t="s">
        <v>190</v>
      </c>
      <c r="B354" s="7" t="s">
        <v>191</v>
      </c>
      <c r="C354" s="7" t="s">
        <v>236</v>
      </c>
      <c r="D354" s="13">
        <v>25422.0</v>
      </c>
      <c r="E354" s="7" t="s">
        <v>198</v>
      </c>
      <c r="F354" s="13"/>
      <c r="G354" s="14" t="s">
        <v>63</v>
      </c>
      <c r="H354" s="7" t="s">
        <v>237</v>
      </c>
      <c r="I354" s="7" t="s">
        <v>238</v>
      </c>
      <c r="J354" s="7" t="s">
        <v>70</v>
      </c>
      <c r="K354" s="15">
        <v>45566.0</v>
      </c>
      <c r="L354" s="15">
        <v>35738.0</v>
      </c>
      <c r="M354" s="13">
        <v>12919.0</v>
      </c>
      <c r="N354" s="7">
        <v>1723.93</v>
      </c>
      <c r="O354" s="7"/>
      <c r="P354" s="7">
        <v>13.33</v>
      </c>
      <c r="Q354" s="7"/>
      <c r="R354" s="20"/>
      <c r="S354" s="7"/>
      <c r="T354" s="20"/>
      <c r="U354" s="16">
        <f>SUM(Template!$N354:$O354)*Template!$P354+Template!$Q354</f>
        <v>22979.9869</v>
      </c>
      <c r="V354" s="17" t="str">
        <f>IF(Template!$M354="CONSELHO","N",IF(Template!$AA354="N","N1",IF(Template!$AA354="N1","N2",IF(Template!$AA354="N2","N3",IF(Template!$AA354="N3","N4",IF(Template!$AA354="N4","N5",IF(Template!$AA354="N5","N6",IF(Template!$AA354="N6","N7",IF(Template!$AA354="N7","N8",IF(Template!$AA354="N8","N9",IF(Template!$AA354="N9","N10","NA")))))))))))</f>
        <v>N4</v>
      </c>
      <c r="W354" s="17">
        <f>COUNTIF(Template!$M$3:$M$619,Template!$D354)</f>
        <v>0</v>
      </c>
      <c r="X354" s="17" t="str">
        <f>IF(Template!$F354="","",SUMIF(Template!$M$3:$M$619,Template!$D354,Template!$AC$3:$AC$619))</f>
        <v/>
      </c>
      <c r="Y354" s="17" t="str">
        <f>IFERROR(VLOOKUP(Template!$M354,Template!$D$3:$G$619,MATCH("EmployeeJobTitle",Template!$D$2:$G$2,0),FALSE),"NA")</f>
        <v>GERENTE DE LOJA</v>
      </c>
      <c r="Z354" s="17" t="str">
        <f>IFERROR(VLOOKUP(Template!$M354,Template!$D$3:$G$619,MATCH("EmployeeGroup",Template!$D$2:$G$2,0),FALSE),"NA")</f>
        <v>GERENTE</v>
      </c>
      <c r="AA354" s="17" t="str">
        <f>IFERROR(VLOOKUP(Template!$M354,Template!$D$3:$V$619,MATCH("Layer",Template!$D$2:$V$2,0),FALSE),"NA")</f>
        <v>N3</v>
      </c>
      <c r="AB354" s="21">
        <f>VLOOKUP(Template!$M354,Template!$D$3:$F$619,MATCH("InternalGrade",Template!$D$2:$F$2,0),FALSE)-Template!$F354</f>
        <v>0</v>
      </c>
      <c r="AC354" s="17">
        <f>IF(Template!$AB354&lt;=1, 0.8,IF(Template!$AB354=2,0.4,IF(Template!$AB354=3,0.2,IF(Template!$AB354=4,0.1,IF(Template!$AB354&gt;=5,0.05,"erro")))))</f>
        <v>0.8</v>
      </c>
      <c r="AD354" s="17" t="b">
        <f>Template!$D354=Template!$M354</f>
        <v>0</v>
      </c>
      <c r="AE354" s="12" t="s">
        <v>58</v>
      </c>
    </row>
    <row r="355" ht="15.75" customHeight="1">
      <c r="A355" s="7" t="s">
        <v>190</v>
      </c>
      <c r="B355" s="7" t="s">
        <v>191</v>
      </c>
      <c r="C355" s="7" t="s">
        <v>236</v>
      </c>
      <c r="D355" s="13">
        <v>25157.0</v>
      </c>
      <c r="E355" s="7" t="s">
        <v>193</v>
      </c>
      <c r="F355" s="13"/>
      <c r="G355" s="14" t="s">
        <v>63</v>
      </c>
      <c r="H355" s="7" t="s">
        <v>237</v>
      </c>
      <c r="I355" s="7" t="s">
        <v>238</v>
      </c>
      <c r="J355" s="7" t="s">
        <v>70</v>
      </c>
      <c r="K355" s="15">
        <v>45474.0</v>
      </c>
      <c r="L355" s="15">
        <v>36259.0</v>
      </c>
      <c r="M355" s="13">
        <v>12919.0</v>
      </c>
      <c r="N355" s="7"/>
      <c r="O355" s="7"/>
      <c r="P355" s="7">
        <v>13.33</v>
      </c>
      <c r="Q355" s="7"/>
      <c r="R355" s="20"/>
      <c r="S355" s="7"/>
      <c r="T355" s="20"/>
      <c r="U355" s="16">
        <f>SUM(Template!$N355:$O355)*Template!$P355+Template!$Q355</f>
        <v>0</v>
      </c>
      <c r="V355" s="17" t="str">
        <f>IF(Template!$M355="CONSELHO","N",IF(Template!$AA355="N","N1",IF(Template!$AA355="N1","N2",IF(Template!$AA355="N2","N3",IF(Template!$AA355="N3","N4",IF(Template!$AA355="N4","N5",IF(Template!$AA355="N5","N6",IF(Template!$AA355="N6","N7",IF(Template!$AA355="N7","N8",IF(Template!$AA355="N8","N9",IF(Template!$AA355="N9","N10","NA")))))))))))</f>
        <v>N4</v>
      </c>
      <c r="W355" s="17">
        <f>COUNTIF(Template!$M$3:$M$619,Template!$D355)</f>
        <v>0</v>
      </c>
      <c r="X355" s="17" t="str">
        <f>IF(Template!$F355="","",SUMIF(Template!$M$3:$M$619,Template!$D355,Template!$AC$3:$AC$619))</f>
        <v/>
      </c>
      <c r="Y355" s="17" t="str">
        <f>IFERROR(VLOOKUP(Template!$M355,Template!$D$3:$G$619,MATCH("EmployeeJobTitle",Template!$D$2:$G$2,0),FALSE),"NA")</f>
        <v>GERENTE DE LOJA</v>
      </c>
      <c r="Z355" s="17" t="str">
        <f>IFERROR(VLOOKUP(Template!$M355,Template!$D$3:$G$619,MATCH("EmployeeGroup",Template!$D$2:$G$2,0),FALSE),"NA")</f>
        <v>GERENTE</v>
      </c>
      <c r="AA355" s="17" t="str">
        <f>IFERROR(VLOOKUP(Template!$M355,Template!$D$3:$V$619,MATCH("Layer",Template!$D$2:$V$2,0),FALSE),"NA")</f>
        <v>N3</v>
      </c>
      <c r="AB355" s="21">
        <f>VLOOKUP(Template!$M355,Template!$D$3:$F$619,MATCH("InternalGrade",Template!$D$2:$F$2,0),FALSE)-Template!$F355</f>
        <v>0</v>
      </c>
      <c r="AC355" s="17">
        <f>IF(Template!$AB355&lt;=1, 0.8,IF(Template!$AB355=2,0.4,IF(Template!$AB355=3,0.2,IF(Template!$AB355=4,0.1,IF(Template!$AB355&gt;=5,0.05,"erro")))))</f>
        <v>0.8</v>
      </c>
      <c r="AD355" s="17" t="b">
        <f>Template!$D355=Template!$M355</f>
        <v>0</v>
      </c>
      <c r="AE355" s="12" t="s">
        <v>58</v>
      </c>
    </row>
    <row r="356" ht="15.75" customHeight="1">
      <c r="A356" s="7" t="s">
        <v>190</v>
      </c>
      <c r="B356" s="7" t="s">
        <v>191</v>
      </c>
      <c r="C356" s="7" t="s">
        <v>236</v>
      </c>
      <c r="D356" s="13">
        <v>24889.0</v>
      </c>
      <c r="E356" s="7" t="s">
        <v>193</v>
      </c>
      <c r="F356" s="13"/>
      <c r="G356" s="14" t="s">
        <v>63</v>
      </c>
      <c r="H356" s="7" t="s">
        <v>237</v>
      </c>
      <c r="I356" s="7" t="s">
        <v>238</v>
      </c>
      <c r="J356" s="7" t="s">
        <v>70</v>
      </c>
      <c r="K356" s="15">
        <v>45343.0</v>
      </c>
      <c r="L356" s="15">
        <v>28459.0</v>
      </c>
      <c r="M356" s="13">
        <v>12919.0</v>
      </c>
      <c r="N356" s="7"/>
      <c r="O356" s="7"/>
      <c r="P356" s="7">
        <v>13.33</v>
      </c>
      <c r="Q356" s="7"/>
      <c r="R356" s="20"/>
      <c r="S356" s="7"/>
      <c r="T356" s="20"/>
      <c r="U356" s="16">
        <f>SUM(Template!$N356:$O356)*Template!$P356+Template!$Q356</f>
        <v>0</v>
      </c>
      <c r="V356" s="17" t="str">
        <f>IF(Template!$M356="CONSELHO","N",IF(Template!$AA356="N","N1",IF(Template!$AA356="N1","N2",IF(Template!$AA356="N2","N3",IF(Template!$AA356="N3","N4",IF(Template!$AA356="N4","N5",IF(Template!$AA356="N5","N6",IF(Template!$AA356="N6","N7",IF(Template!$AA356="N7","N8",IF(Template!$AA356="N8","N9",IF(Template!$AA356="N9","N10","NA")))))))))))</f>
        <v>N4</v>
      </c>
      <c r="W356" s="17">
        <f>COUNTIF(Template!$M$3:$M$619,Template!$D356)</f>
        <v>0</v>
      </c>
      <c r="X356" s="17" t="str">
        <f>IF(Template!$F356="","",SUMIF(Template!$M$3:$M$619,Template!$D356,Template!$AC$3:$AC$619))</f>
        <v/>
      </c>
      <c r="Y356" s="17" t="str">
        <f>IFERROR(VLOOKUP(Template!$M356,Template!$D$3:$G$619,MATCH("EmployeeJobTitle",Template!$D$2:$G$2,0),FALSE),"NA")</f>
        <v>GERENTE DE LOJA</v>
      </c>
      <c r="Z356" s="17" t="str">
        <f>IFERROR(VLOOKUP(Template!$M356,Template!$D$3:$G$619,MATCH("EmployeeGroup",Template!$D$2:$G$2,0),FALSE),"NA")</f>
        <v>GERENTE</v>
      </c>
      <c r="AA356" s="17" t="str">
        <f>IFERROR(VLOOKUP(Template!$M356,Template!$D$3:$V$619,MATCH("Layer",Template!$D$2:$V$2,0),FALSE),"NA")</f>
        <v>N3</v>
      </c>
      <c r="AB356" s="21">
        <f>VLOOKUP(Template!$M356,Template!$D$3:$F$619,MATCH("InternalGrade",Template!$D$2:$F$2,0),FALSE)-Template!$F356</f>
        <v>0</v>
      </c>
      <c r="AC356" s="17">
        <f>IF(Template!$AB356&lt;=1, 0.8,IF(Template!$AB356=2,0.4,IF(Template!$AB356=3,0.2,IF(Template!$AB356=4,0.1,IF(Template!$AB356&gt;=5,0.05,"erro")))))</f>
        <v>0.8</v>
      </c>
      <c r="AD356" s="17" t="b">
        <f>Template!$D356=Template!$M356</f>
        <v>0</v>
      </c>
      <c r="AE356" s="12" t="s">
        <v>58</v>
      </c>
    </row>
    <row r="357" ht="15.75" customHeight="1">
      <c r="A357" s="7" t="s">
        <v>190</v>
      </c>
      <c r="B357" s="7" t="s">
        <v>191</v>
      </c>
      <c r="C357" s="7" t="s">
        <v>236</v>
      </c>
      <c r="D357" s="13">
        <v>12919.0</v>
      </c>
      <c r="E357" s="7" t="s">
        <v>199</v>
      </c>
      <c r="F357" s="13"/>
      <c r="G357" s="22" t="s">
        <v>200</v>
      </c>
      <c r="H357" s="7" t="s">
        <v>237</v>
      </c>
      <c r="I357" s="7" t="s">
        <v>238</v>
      </c>
      <c r="J357" s="7" t="s">
        <v>70</v>
      </c>
      <c r="K357" s="15">
        <v>41561.0</v>
      </c>
      <c r="L357" s="15">
        <v>27784.0</v>
      </c>
      <c r="M357" s="13">
        <v>23256.0</v>
      </c>
      <c r="N357" s="7">
        <v>5408.0</v>
      </c>
      <c r="O357" s="7"/>
      <c r="P357" s="7">
        <v>13.33</v>
      </c>
      <c r="Q357" s="7"/>
      <c r="R357" s="20"/>
      <c r="S357" s="7"/>
      <c r="T357" s="20"/>
      <c r="U357" s="16">
        <f>SUM(Template!$N357:$O357)*Template!$P357+Template!$Q357</f>
        <v>72088.64</v>
      </c>
      <c r="V357" s="17" t="str">
        <f>IF(Template!$M357="CONSELHO","N",IF(Template!$AA357="N","N1",IF(Template!$AA357="N1","N2",IF(Template!$AA357="N2","N3",IF(Template!$AA357="N3","N4",IF(Template!$AA357="N4","N5",IF(Template!$AA357="N5","N6",IF(Template!$AA357="N6","N7",IF(Template!$AA357="N7","N8",IF(Template!$AA357="N8","N9",IF(Template!$AA357="N9","N10","NA")))))))))))</f>
        <v>N3</v>
      </c>
      <c r="W357" s="17">
        <f>COUNTIF(Template!$M$3:$M$619,Template!$D357)</f>
        <v>8</v>
      </c>
      <c r="X357" s="17" t="str">
        <f>IF(Template!$F357="","",SUMIF(Template!$M$3:$M$619,Template!$D357,Template!$AC$3:$AC$619))</f>
        <v/>
      </c>
      <c r="Y357" s="17" t="str">
        <f>IFERROR(VLOOKUP(Template!$M357,Template!$D$3:$G$619,MATCH("EmployeeJobTitle",Template!$D$2:$G$2,0),FALSE),"NA")</f>
        <v>GERENTE COMERCIAL</v>
      </c>
      <c r="Z357" s="17" t="str">
        <f>IFERROR(VLOOKUP(Template!$M357,Template!$D$3:$G$619,MATCH("EmployeeGroup",Template!$D$2:$G$2,0),FALSE),"NA")</f>
        <v>Coordenador</v>
      </c>
      <c r="AA357" s="17" t="str">
        <f>IFERROR(VLOOKUP(Template!$M357,Template!$D$3:$V$619,MATCH("Layer",Template!$D$2:$V$2,0),FALSE),"NA")</f>
        <v>N2</v>
      </c>
      <c r="AB357" s="21">
        <f>VLOOKUP(Template!$M357,Template!$D$3:$F$619,MATCH("InternalGrade",Template!$D$2:$F$2,0),FALSE)-Template!$F357</f>
        <v>19</v>
      </c>
      <c r="AC357" s="17">
        <f>IF(Template!$AB357&lt;=1, 0.8,IF(Template!$AB357=2,0.4,IF(Template!$AB357=3,0.2,IF(Template!$AB357=4,0.1,IF(Template!$AB357&gt;=5,0.05,"erro")))))</f>
        <v>0.05</v>
      </c>
      <c r="AD357" s="17" t="b">
        <f>Template!$D357=Template!$M357</f>
        <v>0</v>
      </c>
      <c r="AE357" s="12" t="s">
        <v>58</v>
      </c>
    </row>
    <row r="358" ht="15.75" customHeight="1">
      <c r="A358" s="7" t="s">
        <v>190</v>
      </c>
      <c r="B358" s="7" t="s">
        <v>191</v>
      </c>
      <c r="C358" s="7" t="s">
        <v>236</v>
      </c>
      <c r="D358" s="13">
        <v>17531.0</v>
      </c>
      <c r="E358" s="7" t="s">
        <v>193</v>
      </c>
      <c r="F358" s="13"/>
      <c r="G358" s="14" t="s">
        <v>63</v>
      </c>
      <c r="H358" s="7" t="s">
        <v>237</v>
      </c>
      <c r="I358" s="7" t="s">
        <v>238</v>
      </c>
      <c r="J358" s="7" t="s">
        <v>70</v>
      </c>
      <c r="K358" s="15">
        <v>43500.0</v>
      </c>
      <c r="L358" s="15">
        <v>27352.0</v>
      </c>
      <c r="M358" s="13">
        <v>12919.0</v>
      </c>
      <c r="N358" s="7"/>
      <c r="O358" s="7"/>
      <c r="P358" s="7">
        <v>13.33</v>
      </c>
      <c r="Q358" s="7"/>
      <c r="R358" s="20"/>
      <c r="S358" s="7"/>
      <c r="T358" s="20"/>
      <c r="U358" s="16">
        <f>SUM(Template!$N358:$O358)*Template!$P358+Template!$Q358</f>
        <v>0</v>
      </c>
      <c r="V358" s="17" t="str">
        <f>IF(Template!$M358="CONSELHO","N",IF(Template!$AA358="N","N1",IF(Template!$AA358="N1","N2",IF(Template!$AA358="N2","N3",IF(Template!$AA358="N3","N4",IF(Template!$AA358="N4","N5",IF(Template!$AA358="N5","N6",IF(Template!$AA358="N6","N7",IF(Template!$AA358="N7","N8",IF(Template!$AA358="N8","N9",IF(Template!$AA358="N9","N10","NA")))))))))))</f>
        <v>N4</v>
      </c>
      <c r="W358" s="17">
        <f>COUNTIF(Template!$M$3:$M$619,Template!$D358)</f>
        <v>0</v>
      </c>
      <c r="X358" s="17" t="str">
        <f>IF(Template!$F358="","",SUMIF(Template!$M$3:$M$619,Template!$D358,Template!$AC$3:$AC$619))</f>
        <v/>
      </c>
      <c r="Y358" s="17" t="str">
        <f>IFERROR(VLOOKUP(Template!$M358,Template!$D$3:$G$619,MATCH("EmployeeJobTitle",Template!$D$2:$G$2,0),FALSE),"NA")</f>
        <v>GERENTE DE LOJA</v>
      </c>
      <c r="Z358" s="17" t="str">
        <f>IFERROR(VLOOKUP(Template!$M358,Template!$D$3:$G$619,MATCH("EmployeeGroup",Template!$D$2:$G$2,0),FALSE),"NA")</f>
        <v>GERENTE</v>
      </c>
      <c r="AA358" s="17" t="str">
        <f>IFERROR(VLOOKUP(Template!$M358,Template!$D$3:$V$619,MATCH("Layer",Template!$D$2:$V$2,0),FALSE),"NA")</f>
        <v>N3</v>
      </c>
      <c r="AB358" s="21">
        <f>VLOOKUP(Template!$M358,Template!$D$3:$F$619,MATCH("InternalGrade",Template!$D$2:$F$2,0),FALSE)-Template!$F358</f>
        <v>0</v>
      </c>
      <c r="AC358" s="17">
        <f>IF(Template!$AB358&lt;=1, 0.8,IF(Template!$AB358=2,0.4,IF(Template!$AB358=3,0.2,IF(Template!$AB358=4,0.1,IF(Template!$AB358&gt;=5,0.05,"erro")))))</f>
        <v>0.8</v>
      </c>
      <c r="AD358" s="17" t="b">
        <f>Template!$D358=Template!$M358</f>
        <v>0</v>
      </c>
      <c r="AE358" s="12" t="s">
        <v>58</v>
      </c>
    </row>
    <row r="359" ht="15.75" customHeight="1">
      <c r="A359" s="7" t="s">
        <v>190</v>
      </c>
      <c r="B359" s="7" t="s">
        <v>160</v>
      </c>
      <c r="C359" s="7" t="s">
        <v>239</v>
      </c>
      <c r="D359" s="13">
        <v>24251.0</v>
      </c>
      <c r="E359" s="7" t="s">
        <v>198</v>
      </c>
      <c r="F359" s="13"/>
      <c r="G359" s="14" t="s">
        <v>63</v>
      </c>
      <c r="H359" s="7" t="s">
        <v>240</v>
      </c>
      <c r="I359" s="7" t="s">
        <v>239</v>
      </c>
      <c r="J359" s="7" t="s">
        <v>70</v>
      </c>
      <c r="K359" s="15">
        <v>45166.0</v>
      </c>
      <c r="L359" s="15">
        <v>23536.0</v>
      </c>
      <c r="M359" s="13">
        <v>13548.0</v>
      </c>
      <c r="N359" s="7">
        <v>1581.35</v>
      </c>
      <c r="O359" s="7"/>
      <c r="P359" s="7">
        <v>13.33</v>
      </c>
      <c r="Q359" s="7"/>
      <c r="R359" s="20"/>
      <c r="S359" s="7"/>
      <c r="T359" s="20"/>
      <c r="U359" s="16">
        <f>SUM(Template!$N359:$O359)*Template!$P359+Template!$Q359</f>
        <v>21079.3955</v>
      </c>
      <c r="V359" s="17" t="str">
        <f>IF(Template!$M359="CONSELHO","N",IF(Template!$AA359="N","N1",IF(Template!$AA359="N1","N2",IF(Template!$AA359="N2","N3",IF(Template!$AA359="N3","N4",IF(Template!$AA359="N4","N5",IF(Template!$AA359="N5","N6",IF(Template!$AA359="N6","N7",IF(Template!$AA359="N7","N8",IF(Template!$AA359="N8","N9",IF(Template!$AA359="N9","N10","NA")))))))))))</f>
        <v>N4</v>
      </c>
      <c r="W359" s="17">
        <f>COUNTIF(Template!$M$3:$M$619,Template!$D359)</f>
        <v>0</v>
      </c>
      <c r="X359" s="17" t="str">
        <f>IF(Template!$F359="","",SUMIF(Template!$M$3:$M$619,Template!$D359,Template!$AC$3:$AC$619))</f>
        <v/>
      </c>
      <c r="Y359" s="17" t="str">
        <f>IFERROR(VLOOKUP(Template!$M359,Template!$D$3:$G$619,MATCH("EmployeeJobTitle",Template!$D$2:$G$2,0),FALSE),"NA")</f>
        <v>GERENTE DE LOJA</v>
      </c>
      <c r="Z359" s="17" t="str">
        <f>IFERROR(VLOOKUP(Template!$M359,Template!$D$3:$G$619,MATCH("EmployeeGroup",Template!$D$2:$G$2,0),FALSE),"NA")</f>
        <v>GERENTE</v>
      </c>
      <c r="AA359" s="17" t="str">
        <f>IFERROR(VLOOKUP(Template!$M359,Template!$D$3:$V$619,MATCH("Layer",Template!$D$2:$V$2,0),FALSE),"NA")</f>
        <v>N3</v>
      </c>
      <c r="AB359" s="21">
        <f>VLOOKUP(Template!$M359,Template!$D$3:$F$619,MATCH("InternalGrade",Template!$D$2:$F$2,0),FALSE)-Template!$F359</f>
        <v>0</v>
      </c>
      <c r="AC359" s="17">
        <f>IF(Template!$AB359&lt;=1, 0.8,IF(Template!$AB359=2,0.4,IF(Template!$AB359=3,0.2,IF(Template!$AB359=4,0.1,IF(Template!$AB359&gt;=5,0.05,"erro")))))</f>
        <v>0.8</v>
      </c>
      <c r="AD359" s="17" t="b">
        <f>Template!$D359=Template!$M359</f>
        <v>0</v>
      </c>
      <c r="AE359" s="12" t="s">
        <v>58</v>
      </c>
    </row>
    <row r="360" ht="15.75" customHeight="1">
      <c r="A360" s="7" t="s">
        <v>190</v>
      </c>
      <c r="B360" s="7" t="s">
        <v>160</v>
      </c>
      <c r="C360" s="7" t="s">
        <v>239</v>
      </c>
      <c r="D360" s="13">
        <v>16202.0</v>
      </c>
      <c r="E360" s="7" t="s">
        <v>197</v>
      </c>
      <c r="F360" s="13"/>
      <c r="G360" s="22" t="s">
        <v>87</v>
      </c>
      <c r="H360" s="7" t="s">
        <v>240</v>
      </c>
      <c r="I360" s="7" t="s">
        <v>239</v>
      </c>
      <c r="J360" s="7" t="s">
        <v>70</v>
      </c>
      <c r="K360" s="15">
        <v>42954.0</v>
      </c>
      <c r="L360" s="15">
        <v>32642.0</v>
      </c>
      <c r="M360" s="13">
        <v>13548.0</v>
      </c>
      <c r="N360" s="7"/>
      <c r="O360" s="7"/>
      <c r="P360" s="7">
        <v>13.33</v>
      </c>
      <c r="Q360" s="7"/>
      <c r="R360" s="20"/>
      <c r="S360" s="7"/>
      <c r="T360" s="20"/>
      <c r="U360" s="16">
        <f>SUM(Template!$N360:$O360)*Template!$P360+Template!$Q360</f>
        <v>0</v>
      </c>
      <c r="V360" s="17" t="str">
        <f>IF(Template!$M360="CONSELHO","N",IF(Template!$AA360="N","N1",IF(Template!$AA360="N1","N2",IF(Template!$AA360="N2","N3",IF(Template!$AA360="N3","N4",IF(Template!$AA360="N4","N5",IF(Template!$AA360="N5","N6",IF(Template!$AA360="N6","N7",IF(Template!$AA360="N7","N8",IF(Template!$AA360="N8","N9",IF(Template!$AA360="N9","N10","NA")))))))))))</f>
        <v>N4</v>
      </c>
      <c r="W360" s="17">
        <f>COUNTIF(Template!$M$3:$M$619,Template!$D360)</f>
        <v>0</v>
      </c>
      <c r="X360" s="17" t="str">
        <f>IF(Template!$F360="","",SUMIF(Template!$M$3:$M$619,Template!$D360,Template!$AC$3:$AC$619))</f>
        <v/>
      </c>
      <c r="Y360" s="17" t="str">
        <f>IFERROR(VLOOKUP(Template!$M360,Template!$D$3:$G$619,MATCH("EmployeeJobTitle",Template!$D$2:$G$2,0),FALSE),"NA")</f>
        <v>GERENTE DE LOJA</v>
      </c>
      <c r="Z360" s="17" t="str">
        <f>IFERROR(VLOOKUP(Template!$M360,Template!$D$3:$G$619,MATCH("EmployeeGroup",Template!$D$2:$G$2,0),FALSE),"NA")</f>
        <v>GERENTE</v>
      </c>
      <c r="AA360" s="17" t="str">
        <f>IFERROR(VLOOKUP(Template!$M360,Template!$D$3:$V$619,MATCH("Layer",Template!$D$2:$V$2,0),FALSE),"NA")</f>
        <v>N3</v>
      </c>
      <c r="AB360" s="21">
        <f>VLOOKUP(Template!$M360,Template!$D$3:$F$619,MATCH("InternalGrade",Template!$D$2:$F$2,0),FALSE)-Template!$F360</f>
        <v>0</v>
      </c>
      <c r="AC360" s="17">
        <f>IF(Template!$AB360&lt;=1, 0.8,IF(Template!$AB360=2,0.4,IF(Template!$AB360=3,0.2,IF(Template!$AB360=4,0.1,IF(Template!$AB360&gt;=5,0.05,"erro")))))</f>
        <v>0.8</v>
      </c>
      <c r="AD360" s="17" t="b">
        <f>Template!$D360=Template!$M360</f>
        <v>0</v>
      </c>
      <c r="AE360" s="12" t="s">
        <v>58</v>
      </c>
    </row>
    <row r="361" ht="15.75" customHeight="1">
      <c r="A361" s="7" t="s">
        <v>190</v>
      </c>
      <c r="B361" s="7" t="s">
        <v>160</v>
      </c>
      <c r="C361" s="7" t="s">
        <v>239</v>
      </c>
      <c r="D361" s="13">
        <v>13548.0</v>
      </c>
      <c r="E361" s="7" t="s">
        <v>199</v>
      </c>
      <c r="F361" s="13"/>
      <c r="G361" s="22" t="s">
        <v>200</v>
      </c>
      <c r="H361" s="7" t="s">
        <v>240</v>
      </c>
      <c r="I361" s="7" t="s">
        <v>239</v>
      </c>
      <c r="J361" s="7" t="s">
        <v>70</v>
      </c>
      <c r="K361" s="15">
        <v>41841.0</v>
      </c>
      <c r="L361" s="15">
        <v>31538.0</v>
      </c>
      <c r="M361" s="13">
        <v>12404.0</v>
      </c>
      <c r="N361" s="7">
        <v>6651.0</v>
      </c>
      <c r="O361" s="7"/>
      <c r="P361" s="7">
        <v>13.33</v>
      </c>
      <c r="Q361" s="7"/>
      <c r="R361" s="20"/>
      <c r="S361" s="7"/>
      <c r="T361" s="20"/>
      <c r="U361" s="16">
        <f>SUM(Template!$N361:$O361)*Template!$P361+Template!$Q361</f>
        <v>88657.83</v>
      </c>
      <c r="V361" s="17" t="str">
        <f>IF(Template!$M361="CONSELHO","N",IF(Template!$AA361="N","N1",IF(Template!$AA361="N1","N2",IF(Template!$AA361="N2","N3",IF(Template!$AA361="N3","N4",IF(Template!$AA361="N4","N5",IF(Template!$AA361="N5","N6",IF(Template!$AA361="N6","N7",IF(Template!$AA361="N7","N8",IF(Template!$AA361="N8","N9",IF(Template!$AA361="N9","N10","NA")))))))))))</f>
        <v>N3</v>
      </c>
      <c r="W361" s="17">
        <f>COUNTIF(Template!$M$3:$M$619,Template!$D361)</f>
        <v>8</v>
      </c>
      <c r="X361" s="17" t="str">
        <f>IF(Template!$F361="","",SUMIF(Template!$M$3:$M$619,Template!$D361,Template!$AC$3:$AC$619))</f>
        <v/>
      </c>
      <c r="Y361" s="17" t="str">
        <f>IFERROR(VLOOKUP(Template!$M361,Template!$D$3:$G$619,MATCH("EmployeeJobTitle",Template!$D$2:$G$2,0),FALSE),"NA")</f>
        <v>GERENTE COMERCIAL</v>
      </c>
      <c r="Z361" s="17" t="str">
        <f>IFERROR(VLOOKUP(Template!$M361,Template!$D$3:$G$619,MATCH("EmployeeGroup",Template!$D$2:$G$2,0),FALSE),"NA")</f>
        <v>Coordenador</v>
      </c>
      <c r="AA361" s="17" t="str">
        <f>IFERROR(VLOOKUP(Template!$M361,Template!$D$3:$V$619,MATCH("Layer",Template!$D$2:$V$2,0),FALSE),"NA")</f>
        <v>N2</v>
      </c>
      <c r="AB361" s="21">
        <f>VLOOKUP(Template!$M361,Template!$D$3:$F$619,MATCH("InternalGrade",Template!$D$2:$F$2,0),FALSE)-Template!$F361</f>
        <v>19</v>
      </c>
      <c r="AC361" s="17">
        <f>IF(Template!$AB361&lt;=1, 0.8,IF(Template!$AB361=2,0.4,IF(Template!$AB361=3,0.2,IF(Template!$AB361=4,0.1,IF(Template!$AB361&gt;=5,0.05,"erro")))))</f>
        <v>0.05</v>
      </c>
      <c r="AD361" s="17" t="b">
        <f>Template!$D361=Template!$M361</f>
        <v>0</v>
      </c>
      <c r="AE361" s="12" t="s">
        <v>58</v>
      </c>
    </row>
    <row r="362" ht="15.75" customHeight="1">
      <c r="A362" s="7" t="s">
        <v>190</v>
      </c>
      <c r="B362" s="7" t="s">
        <v>160</v>
      </c>
      <c r="C362" s="7" t="s">
        <v>239</v>
      </c>
      <c r="D362" s="13">
        <v>24982.0</v>
      </c>
      <c r="E362" s="7" t="s">
        <v>193</v>
      </c>
      <c r="F362" s="13"/>
      <c r="G362" s="14" t="s">
        <v>63</v>
      </c>
      <c r="H362" s="7" t="s">
        <v>240</v>
      </c>
      <c r="I362" s="7" t="s">
        <v>239</v>
      </c>
      <c r="J362" s="7" t="s">
        <v>70</v>
      </c>
      <c r="K362" s="15">
        <v>45390.0</v>
      </c>
      <c r="L362" s="15">
        <v>31238.0</v>
      </c>
      <c r="M362" s="13">
        <v>13548.0</v>
      </c>
      <c r="N362" s="7"/>
      <c r="O362" s="7"/>
      <c r="P362" s="7">
        <v>13.33</v>
      </c>
      <c r="Q362" s="7"/>
      <c r="R362" s="20"/>
      <c r="S362" s="7"/>
      <c r="T362" s="20"/>
      <c r="U362" s="16">
        <f>SUM(Template!$N362:$O362)*Template!$P362+Template!$Q362</f>
        <v>0</v>
      </c>
      <c r="V362" s="17" t="str">
        <f>IF(Template!$M362="CONSELHO","N",IF(Template!$AA362="N","N1",IF(Template!$AA362="N1","N2",IF(Template!$AA362="N2","N3",IF(Template!$AA362="N3","N4",IF(Template!$AA362="N4","N5",IF(Template!$AA362="N5","N6",IF(Template!$AA362="N6","N7",IF(Template!$AA362="N7","N8",IF(Template!$AA362="N8","N9",IF(Template!$AA362="N9","N10","NA")))))))))))</f>
        <v>N4</v>
      </c>
      <c r="W362" s="17">
        <f>COUNTIF(Template!$M$3:$M$619,Template!$D362)</f>
        <v>0</v>
      </c>
      <c r="X362" s="17" t="str">
        <f>IF(Template!$F362="","",SUMIF(Template!$M$3:$M$619,Template!$D362,Template!$AC$3:$AC$619))</f>
        <v/>
      </c>
      <c r="Y362" s="17" t="str">
        <f>IFERROR(VLOOKUP(Template!$M362,Template!$D$3:$G$619,MATCH("EmployeeJobTitle",Template!$D$2:$G$2,0),FALSE),"NA")</f>
        <v>GERENTE DE LOJA</v>
      </c>
      <c r="Z362" s="17" t="str">
        <f>IFERROR(VLOOKUP(Template!$M362,Template!$D$3:$G$619,MATCH("EmployeeGroup",Template!$D$2:$G$2,0),FALSE),"NA")</f>
        <v>GERENTE</v>
      </c>
      <c r="AA362" s="17" t="str">
        <f>IFERROR(VLOOKUP(Template!$M362,Template!$D$3:$V$619,MATCH("Layer",Template!$D$2:$V$2,0),FALSE),"NA")</f>
        <v>N3</v>
      </c>
      <c r="AB362" s="21">
        <f>VLOOKUP(Template!$M362,Template!$D$3:$F$619,MATCH("InternalGrade",Template!$D$2:$F$2,0),FALSE)-Template!$F362</f>
        <v>0</v>
      </c>
      <c r="AC362" s="17">
        <f>IF(Template!$AB362&lt;=1, 0.8,IF(Template!$AB362=2,0.4,IF(Template!$AB362=3,0.2,IF(Template!$AB362=4,0.1,IF(Template!$AB362&gt;=5,0.05,"erro")))))</f>
        <v>0.8</v>
      </c>
      <c r="AD362" s="17" t="b">
        <f>Template!$D362=Template!$M362</f>
        <v>0</v>
      </c>
      <c r="AE362" s="12" t="s">
        <v>58</v>
      </c>
    </row>
    <row r="363" ht="15.75" customHeight="1">
      <c r="A363" s="7" t="s">
        <v>190</v>
      </c>
      <c r="B363" s="7" t="s">
        <v>160</v>
      </c>
      <c r="C363" s="7" t="s">
        <v>239</v>
      </c>
      <c r="D363" s="13">
        <v>24896.0</v>
      </c>
      <c r="E363" s="7" t="s">
        <v>196</v>
      </c>
      <c r="F363" s="13"/>
      <c r="G363" s="14" t="s">
        <v>63</v>
      </c>
      <c r="H363" s="7" t="s">
        <v>240</v>
      </c>
      <c r="I363" s="7" t="s">
        <v>239</v>
      </c>
      <c r="J363" s="7" t="s">
        <v>70</v>
      </c>
      <c r="K363" s="15">
        <v>45352.0</v>
      </c>
      <c r="L363" s="15">
        <v>30398.0</v>
      </c>
      <c r="M363" s="13">
        <v>13548.0</v>
      </c>
      <c r="N363" s="7">
        <v>1581.35</v>
      </c>
      <c r="O363" s="7"/>
      <c r="P363" s="7">
        <v>13.33</v>
      </c>
      <c r="Q363" s="7"/>
      <c r="R363" s="20"/>
      <c r="S363" s="7"/>
      <c r="T363" s="20"/>
      <c r="U363" s="16">
        <f>SUM(Template!$N363:$O363)*Template!$P363+Template!$Q363</f>
        <v>21079.3955</v>
      </c>
      <c r="V363" s="17" t="str">
        <f>IF(Template!$M363="CONSELHO","N",IF(Template!$AA363="N","N1",IF(Template!$AA363="N1","N2",IF(Template!$AA363="N2","N3",IF(Template!$AA363="N3","N4",IF(Template!$AA363="N4","N5",IF(Template!$AA363="N5","N6",IF(Template!$AA363="N6","N7",IF(Template!$AA363="N7","N8",IF(Template!$AA363="N8","N9",IF(Template!$AA363="N9","N10","NA")))))))))))</f>
        <v>N4</v>
      </c>
      <c r="W363" s="17">
        <f>COUNTIF(Template!$M$3:$M$619,Template!$D363)</f>
        <v>0</v>
      </c>
      <c r="X363" s="17" t="str">
        <f>IF(Template!$F363="","",SUMIF(Template!$M$3:$M$619,Template!$D363,Template!$AC$3:$AC$619))</f>
        <v/>
      </c>
      <c r="Y363" s="17" t="str">
        <f>IFERROR(VLOOKUP(Template!$M363,Template!$D$3:$G$619,MATCH("EmployeeJobTitle",Template!$D$2:$G$2,0),FALSE),"NA")</f>
        <v>GERENTE DE LOJA</v>
      </c>
      <c r="Z363" s="17" t="str">
        <f>IFERROR(VLOOKUP(Template!$M363,Template!$D$3:$G$619,MATCH("EmployeeGroup",Template!$D$2:$G$2,0),FALSE),"NA")</f>
        <v>GERENTE</v>
      </c>
      <c r="AA363" s="17" t="str">
        <f>IFERROR(VLOOKUP(Template!$M363,Template!$D$3:$V$619,MATCH("Layer",Template!$D$2:$V$2,0),FALSE),"NA")</f>
        <v>N3</v>
      </c>
      <c r="AB363" s="21">
        <f>VLOOKUP(Template!$M363,Template!$D$3:$F$619,MATCH("InternalGrade",Template!$D$2:$F$2,0),FALSE)-Template!$F363</f>
        <v>0</v>
      </c>
      <c r="AC363" s="17">
        <f>IF(Template!$AB363&lt;=1, 0.8,IF(Template!$AB363=2,0.4,IF(Template!$AB363=3,0.2,IF(Template!$AB363=4,0.1,IF(Template!$AB363&gt;=5,0.05,"erro")))))</f>
        <v>0.8</v>
      </c>
      <c r="AD363" s="17" t="b">
        <f>Template!$D363=Template!$M363</f>
        <v>0</v>
      </c>
      <c r="AE363" s="12" t="s">
        <v>58</v>
      </c>
    </row>
    <row r="364" ht="15.75" customHeight="1">
      <c r="A364" s="7" t="s">
        <v>190</v>
      </c>
      <c r="B364" s="7" t="s">
        <v>160</v>
      </c>
      <c r="C364" s="7" t="s">
        <v>239</v>
      </c>
      <c r="D364" s="13">
        <v>25277.0</v>
      </c>
      <c r="E364" s="7" t="s">
        <v>198</v>
      </c>
      <c r="F364" s="13"/>
      <c r="G364" s="14" t="s">
        <v>63</v>
      </c>
      <c r="H364" s="7" t="s">
        <v>240</v>
      </c>
      <c r="I364" s="7" t="s">
        <v>239</v>
      </c>
      <c r="J364" s="7" t="s">
        <v>70</v>
      </c>
      <c r="K364" s="15">
        <v>45510.0</v>
      </c>
      <c r="L364" s="15">
        <v>25993.0</v>
      </c>
      <c r="M364" s="13">
        <v>13548.0</v>
      </c>
      <c r="N364" s="7">
        <v>1581.35</v>
      </c>
      <c r="O364" s="7"/>
      <c r="P364" s="7">
        <v>13.33</v>
      </c>
      <c r="Q364" s="7"/>
      <c r="R364" s="20"/>
      <c r="S364" s="7"/>
      <c r="T364" s="20"/>
      <c r="U364" s="16">
        <f>SUM(Template!$N364:$O364)*Template!$P364+Template!$Q364</f>
        <v>21079.3955</v>
      </c>
      <c r="V364" s="17" t="str">
        <f>IF(Template!$M364="CONSELHO","N",IF(Template!$AA364="N","N1",IF(Template!$AA364="N1","N2",IF(Template!$AA364="N2","N3",IF(Template!$AA364="N3","N4",IF(Template!$AA364="N4","N5",IF(Template!$AA364="N5","N6",IF(Template!$AA364="N6","N7",IF(Template!$AA364="N7","N8",IF(Template!$AA364="N8","N9",IF(Template!$AA364="N9","N10","NA")))))))))))</f>
        <v>N4</v>
      </c>
      <c r="W364" s="17">
        <f>COUNTIF(Template!$M$3:$M$619,Template!$D364)</f>
        <v>0</v>
      </c>
      <c r="X364" s="17" t="str">
        <f>IF(Template!$F364="","",SUMIF(Template!$M$3:$M$619,Template!$D364,Template!$AC$3:$AC$619))</f>
        <v/>
      </c>
      <c r="Y364" s="17" t="str">
        <f>IFERROR(VLOOKUP(Template!$M364,Template!$D$3:$G$619,MATCH("EmployeeJobTitle",Template!$D$2:$G$2,0),FALSE),"NA")</f>
        <v>GERENTE DE LOJA</v>
      </c>
      <c r="Z364" s="17" t="str">
        <f>IFERROR(VLOOKUP(Template!$M364,Template!$D$3:$G$619,MATCH("EmployeeGroup",Template!$D$2:$G$2,0),FALSE),"NA")</f>
        <v>GERENTE</v>
      </c>
      <c r="AA364" s="17" t="str">
        <f>IFERROR(VLOOKUP(Template!$M364,Template!$D$3:$V$619,MATCH("Layer",Template!$D$2:$V$2,0),FALSE),"NA")</f>
        <v>N3</v>
      </c>
      <c r="AB364" s="21">
        <f>VLOOKUP(Template!$M364,Template!$D$3:$F$619,MATCH("InternalGrade",Template!$D$2:$F$2,0),FALSE)-Template!$F364</f>
        <v>0</v>
      </c>
      <c r="AC364" s="17">
        <f>IF(Template!$AB364&lt;=1, 0.8,IF(Template!$AB364=2,0.4,IF(Template!$AB364=3,0.2,IF(Template!$AB364=4,0.1,IF(Template!$AB364&gt;=5,0.05,"erro")))))</f>
        <v>0.8</v>
      </c>
      <c r="AD364" s="17" t="b">
        <f>Template!$D364=Template!$M364</f>
        <v>0</v>
      </c>
      <c r="AE364" s="12" t="s">
        <v>58</v>
      </c>
    </row>
    <row r="365" ht="15.75" customHeight="1">
      <c r="A365" s="7" t="s">
        <v>190</v>
      </c>
      <c r="B365" s="7" t="s">
        <v>160</v>
      </c>
      <c r="C365" s="7" t="s">
        <v>239</v>
      </c>
      <c r="D365" s="13">
        <v>24512.0</v>
      </c>
      <c r="E365" s="7" t="s">
        <v>193</v>
      </c>
      <c r="F365" s="13"/>
      <c r="G365" s="14" t="s">
        <v>63</v>
      </c>
      <c r="H365" s="7" t="s">
        <v>240</v>
      </c>
      <c r="I365" s="7" t="s">
        <v>239</v>
      </c>
      <c r="J365" s="7" t="s">
        <v>70</v>
      </c>
      <c r="K365" s="15">
        <v>45236.0</v>
      </c>
      <c r="L365" s="15">
        <v>37351.0</v>
      </c>
      <c r="M365" s="13">
        <v>13548.0</v>
      </c>
      <c r="N365" s="7"/>
      <c r="O365" s="7"/>
      <c r="P365" s="7">
        <v>13.33</v>
      </c>
      <c r="Q365" s="7"/>
      <c r="R365" s="20"/>
      <c r="S365" s="7"/>
      <c r="T365" s="20"/>
      <c r="U365" s="16">
        <f>SUM(Template!$N365:$O365)*Template!$P365+Template!$Q365</f>
        <v>0</v>
      </c>
      <c r="V365" s="17" t="str">
        <f>IF(Template!$M365="CONSELHO","N",IF(Template!$AA365="N","N1",IF(Template!$AA365="N1","N2",IF(Template!$AA365="N2","N3",IF(Template!$AA365="N3","N4",IF(Template!$AA365="N4","N5",IF(Template!$AA365="N5","N6",IF(Template!$AA365="N6","N7",IF(Template!$AA365="N7","N8",IF(Template!$AA365="N8","N9",IF(Template!$AA365="N9","N10","NA")))))))))))</f>
        <v>N4</v>
      </c>
      <c r="W365" s="17">
        <f>COUNTIF(Template!$M$3:$M$619,Template!$D365)</f>
        <v>0</v>
      </c>
      <c r="X365" s="17" t="str">
        <f>IF(Template!$F365="","",SUMIF(Template!$M$3:$M$619,Template!$D365,Template!$AC$3:$AC$619))</f>
        <v/>
      </c>
      <c r="Y365" s="17" t="str">
        <f>IFERROR(VLOOKUP(Template!$M365,Template!$D$3:$G$619,MATCH("EmployeeJobTitle",Template!$D$2:$G$2,0),FALSE),"NA")</f>
        <v>GERENTE DE LOJA</v>
      </c>
      <c r="Z365" s="17" t="str">
        <f>IFERROR(VLOOKUP(Template!$M365,Template!$D$3:$G$619,MATCH("EmployeeGroup",Template!$D$2:$G$2,0),FALSE),"NA")</f>
        <v>GERENTE</v>
      </c>
      <c r="AA365" s="17" t="str">
        <f>IFERROR(VLOOKUP(Template!$M365,Template!$D$3:$V$619,MATCH("Layer",Template!$D$2:$V$2,0),FALSE),"NA")</f>
        <v>N3</v>
      </c>
      <c r="AB365" s="21">
        <f>VLOOKUP(Template!$M365,Template!$D$3:$F$619,MATCH("InternalGrade",Template!$D$2:$F$2,0),FALSE)-Template!$F365</f>
        <v>0</v>
      </c>
      <c r="AC365" s="17">
        <f>IF(Template!$AB365&lt;=1, 0.8,IF(Template!$AB365=2,0.4,IF(Template!$AB365=3,0.2,IF(Template!$AB365=4,0.1,IF(Template!$AB365&gt;=5,0.05,"erro")))))</f>
        <v>0.8</v>
      </c>
      <c r="AD365" s="17" t="b">
        <f>Template!$D365=Template!$M365</f>
        <v>0</v>
      </c>
      <c r="AE365" s="12" t="s">
        <v>58</v>
      </c>
    </row>
    <row r="366" ht="15.75" customHeight="1">
      <c r="A366" s="7" t="s">
        <v>190</v>
      </c>
      <c r="B366" s="7" t="s">
        <v>160</v>
      </c>
      <c r="C366" s="7" t="s">
        <v>239</v>
      </c>
      <c r="D366" s="13">
        <v>20412.0</v>
      </c>
      <c r="E366" s="7" t="s">
        <v>203</v>
      </c>
      <c r="F366" s="13"/>
      <c r="G366" s="14" t="s">
        <v>63</v>
      </c>
      <c r="H366" s="7" t="s">
        <v>240</v>
      </c>
      <c r="I366" s="7" t="s">
        <v>239</v>
      </c>
      <c r="J366" s="7" t="s">
        <v>70</v>
      </c>
      <c r="K366" s="15">
        <v>44627.0</v>
      </c>
      <c r="L366" s="15">
        <v>32811.0</v>
      </c>
      <c r="M366" s="13">
        <v>13548.0</v>
      </c>
      <c r="N366" s="7"/>
      <c r="O366" s="7"/>
      <c r="P366" s="7">
        <v>13.33</v>
      </c>
      <c r="Q366" s="7"/>
      <c r="R366" s="20"/>
      <c r="S366" s="7"/>
      <c r="T366" s="20"/>
      <c r="U366" s="16">
        <f>SUM(Template!$N366:$O366)*Template!$P366+Template!$Q366</f>
        <v>0</v>
      </c>
      <c r="V366" s="17" t="str">
        <f>IF(Template!$M366="CONSELHO","N",IF(Template!$AA366="N","N1",IF(Template!$AA366="N1","N2",IF(Template!$AA366="N2","N3",IF(Template!$AA366="N3","N4",IF(Template!$AA366="N4","N5",IF(Template!$AA366="N5","N6",IF(Template!$AA366="N6","N7",IF(Template!$AA366="N7","N8",IF(Template!$AA366="N8","N9",IF(Template!$AA366="N9","N10","NA")))))))))))</f>
        <v>N4</v>
      </c>
      <c r="W366" s="17">
        <f>COUNTIF(Template!$M$3:$M$619,Template!$D366)</f>
        <v>0</v>
      </c>
      <c r="X366" s="17" t="str">
        <f>IF(Template!$F366="","",SUMIF(Template!$M$3:$M$619,Template!$D366,Template!$AC$3:$AC$619))</f>
        <v/>
      </c>
      <c r="Y366" s="17" t="str">
        <f>IFERROR(VLOOKUP(Template!$M366,Template!$D$3:$G$619,MATCH("EmployeeJobTitle",Template!$D$2:$G$2,0),FALSE),"NA")</f>
        <v>GERENTE DE LOJA</v>
      </c>
      <c r="Z366" s="17" t="str">
        <f>IFERROR(VLOOKUP(Template!$M366,Template!$D$3:$G$619,MATCH("EmployeeGroup",Template!$D$2:$G$2,0),FALSE),"NA")</f>
        <v>GERENTE</v>
      </c>
      <c r="AA366" s="17" t="str">
        <f>IFERROR(VLOOKUP(Template!$M366,Template!$D$3:$V$619,MATCH("Layer",Template!$D$2:$V$2,0),FALSE),"NA")</f>
        <v>N3</v>
      </c>
      <c r="AB366" s="21">
        <f>VLOOKUP(Template!$M366,Template!$D$3:$F$619,MATCH("InternalGrade",Template!$D$2:$F$2,0),FALSE)-Template!$F366</f>
        <v>0</v>
      </c>
      <c r="AC366" s="17">
        <f>IF(Template!$AB366&lt;=1, 0.8,IF(Template!$AB366=2,0.4,IF(Template!$AB366=3,0.2,IF(Template!$AB366=4,0.1,IF(Template!$AB366&gt;=5,0.05,"erro")))))</f>
        <v>0.8</v>
      </c>
      <c r="AD366" s="17" t="b">
        <f>Template!$D366=Template!$M366</f>
        <v>0</v>
      </c>
      <c r="AE366" s="12" t="s">
        <v>58</v>
      </c>
    </row>
    <row r="367" ht="15.75" customHeight="1">
      <c r="A367" s="7" t="s">
        <v>190</v>
      </c>
      <c r="B367" s="7" t="s">
        <v>160</v>
      </c>
      <c r="C367" s="7" t="s">
        <v>239</v>
      </c>
      <c r="D367" s="13">
        <v>19972.0</v>
      </c>
      <c r="E367" s="7" t="s">
        <v>204</v>
      </c>
      <c r="F367" s="13"/>
      <c r="G367" s="14" t="s">
        <v>63</v>
      </c>
      <c r="H367" s="7" t="s">
        <v>240</v>
      </c>
      <c r="I367" s="7" t="s">
        <v>239</v>
      </c>
      <c r="J367" s="7" t="s">
        <v>70</v>
      </c>
      <c r="K367" s="15">
        <v>44516.0</v>
      </c>
      <c r="L367" s="15">
        <v>33033.0</v>
      </c>
      <c r="M367" s="13">
        <v>13548.0</v>
      </c>
      <c r="N367" s="7"/>
      <c r="O367" s="7"/>
      <c r="P367" s="7">
        <v>13.33</v>
      </c>
      <c r="Q367" s="7"/>
      <c r="R367" s="20"/>
      <c r="S367" s="7"/>
      <c r="T367" s="20"/>
      <c r="U367" s="16">
        <f>SUM(Template!$N367:$O367)*Template!$P367+Template!$Q367</f>
        <v>0</v>
      </c>
      <c r="V367" s="17" t="str">
        <f>IF(Template!$M367="CONSELHO","N",IF(Template!$AA367="N","N1",IF(Template!$AA367="N1","N2",IF(Template!$AA367="N2","N3",IF(Template!$AA367="N3","N4",IF(Template!$AA367="N4","N5",IF(Template!$AA367="N5","N6",IF(Template!$AA367="N6","N7",IF(Template!$AA367="N7","N8",IF(Template!$AA367="N8","N9",IF(Template!$AA367="N9","N10","NA")))))))))))</f>
        <v>N4</v>
      </c>
      <c r="W367" s="17">
        <f>COUNTIF(Template!$M$3:$M$619,Template!$D367)</f>
        <v>0</v>
      </c>
      <c r="X367" s="17" t="str">
        <f>IF(Template!$F367="","",SUMIF(Template!$M$3:$M$619,Template!$D367,Template!$AC$3:$AC$619))</f>
        <v/>
      </c>
      <c r="Y367" s="17" t="str">
        <f>IFERROR(VLOOKUP(Template!$M367,Template!$D$3:$G$619,MATCH("EmployeeJobTitle",Template!$D$2:$G$2,0),FALSE),"NA")</f>
        <v>GERENTE DE LOJA</v>
      </c>
      <c r="Z367" s="17" t="str">
        <f>IFERROR(VLOOKUP(Template!$M367,Template!$D$3:$G$619,MATCH("EmployeeGroup",Template!$D$2:$G$2,0),FALSE),"NA")</f>
        <v>GERENTE</v>
      </c>
      <c r="AA367" s="17" t="str">
        <f>IFERROR(VLOOKUP(Template!$M367,Template!$D$3:$V$619,MATCH("Layer",Template!$D$2:$V$2,0),FALSE),"NA")</f>
        <v>N3</v>
      </c>
      <c r="AB367" s="21">
        <f>VLOOKUP(Template!$M367,Template!$D$3:$F$619,MATCH("InternalGrade",Template!$D$2:$F$2,0),FALSE)-Template!$F367</f>
        <v>0</v>
      </c>
      <c r="AC367" s="17">
        <f>IF(Template!$AB367&lt;=1, 0.8,IF(Template!$AB367=2,0.4,IF(Template!$AB367=3,0.2,IF(Template!$AB367=4,0.1,IF(Template!$AB367&gt;=5,0.05,"erro")))))</f>
        <v>0.8</v>
      </c>
      <c r="AD367" s="17" t="b">
        <f>Template!$D367=Template!$M367</f>
        <v>0</v>
      </c>
      <c r="AE367" s="12" t="s">
        <v>58</v>
      </c>
    </row>
    <row r="368" ht="15.75" customHeight="1">
      <c r="A368" s="7" t="s">
        <v>190</v>
      </c>
      <c r="B368" s="7" t="s">
        <v>160</v>
      </c>
      <c r="C368" s="7" t="s">
        <v>241</v>
      </c>
      <c r="D368" s="13">
        <v>14280.0</v>
      </c>
      <c r="E368" s="7" t="s">
        <v>204</v>
      </c>
      <c r="F368" s="13"/>
      <c r="G368" s="14" t="s">
        <v>63</v>
      </c>
      <c r="H368" s="7" t="s">
        <v>240</v>
      </c>
      <c r="I368" s="7" t="s">
        <v>239</v>
      </c>
      <c r="J368" s="7" t="s">
        <v>70</v>
      </c>
      <c r="K368" s="15">
        <v>42160.0</v>
      </c>
      <c r="L368" s="15">
        <v>27928.0</v>
      </c>
      <c r="M368" s="13">
        <v>17037.0</v>
      </c>
      <c r="N368" s="7"/>
      <c r="O368" s="7"/>
      <c r="P368" s="7">
        <v>13.33</v>
      </c>
      <c r="Q368" s="7"/>
      <c r="R368" s="20"/>
      <c r="S368" s="7"/>
      <c r="T368" s="20"/>
      <c r="U368" s="16">
        <f>SUM(Template!$N368:$O368)*Template!$P368+Template!$Q368</f>
        <v>0</v>
      </c>
      <c r="V368" s="17" t="str">
        <f>IF(Template!$M368="CONSELHO","N",IF(Template!$AA368="N","N1",IF(Template!$AA368="N1","N2",IF(Template!$AA368="N2","N3",IF(Template!$AA368="N3","N4",IF(Template!$AA368="N4","N5",IF(Template!$AA368="N5","N6",IF(Template!$AA368="N6","N7",IF(Template!$AA368="N7","N8",IF(Template!$AA368="N8","N9",IF(Template!$AA368="N9","N10","NA")))))))))))</f>
        <v>N4</v>
      </c>
      <c r="W368" s="17">
        <f>COUNTIF(Template!$M$3:$M$619,Template!$D368)</f>
        <v>0</v>
      </c>
      <c r="X368" s="17" t="str">
        <f>IF(Template!$F368="","",SUMIF(Template!$M$3:$M$619,Template!$D368,Template!$AC$3:$AC$619))</f>
        <v/>
      </c>
      <c r="Y368" s="17" t="str">
        <f>IFERROR(VLOOKUP(Template!$M368,Template!$D$3:$G$619,MATCH("EmployeeJobTitle",Template!$D$2:$G$2,0),FALSE),"NA")</f>
        <v>GERENTE DE LOJA</v>
      </c>
      <c r="Z368" s="17" t="str">
        <f>IFERROR(VLOOKUP(Template!$M368,Template!$D$3:$G$619,MATCH("EmployeeGroup",Template!$D$2:$G$2,0),FALSE),"NA")</f>
        <v>GERENTE</v>
      </c>
      <c r="AA368" s="17" t="str">
        <f>IFERROR(VLOOKUP(Template!$M368,Template!$D$3:$V$619,MATCH("Layer",Template!$D$2:$V$2,0),FALSE),"NA")</f>
        <v>N3</v>
      </c>
      <c r="AB368" s="21">
        <f>VLOOKUP(Template!$M368,Template!$D$3:$F$619,MATCH("InternalGrade",Template!$D$2:$F$2,0),FALSE)-Template!$F368</f>
        <v>0</v>
      </c>
      <c r="AC368" s="17">
        <f>IF(Template!$AB368&lt;=1, 0.8,IF(Template!$AB368=2,0.4,IF(Template!$AB368=3,0.2,IF(Template!$AB368=4,0.1,IF(Template!$AB368&gt;=5,0.05,"erro")))))</f>
        <v>0.8</v>
      </c>
      <c r="AD368" s="17" t="b">
        <f>Template!$D368=Template!$M368</f>
        <v>0</v>
      </c>
      <c r="AE368" s="12" t="s">
        <v>58</v>
      </c>
    </row>
    <row r="369" ht="15.75" customHeight="1">
      <c r="A369" s="7" t="s">
        <v>190</v>
      </c>
      <c r="B369" s="7" t="s">
        <v>160</v>
      </c>
      <c r="C369" s="7" t="s">
        <v>241</v>
      </c>
      <c r="D369" s="13">
        <v>25166.0</v>
      </c>
      <c r="E369" s="7" t="s">
        <v>198</v>
      </c>
      <c r="F369" s="13"/>
      <c r="G369" s="14" t="s">
        <v>63</v>
      </c>
      <c r="H369" s="7" t="s">
        <v>240</v>
      </c>
      <c r="I369" s="7" t="s">
        <v>239</v>
      </c>
      <c r="J369" s="7" t="s">
        <v>70</v>
      </c>
      <c r="K369" s="15">
        <v>45474.0</v>
      </c>
      <c r="L369" s="15">
        <v>33347.0</v>
      </c>
      <c r="M369" s="13">
        <v>17037.0</v>
      </c>
      <c r="N369" s="7">
        <v>1478.0</v>
      </c>
      <c r="O369" s="7"/>
      <c r="P369" s="7">
        <v>13.33</v>
      </c>
      <c r="Q369" s="7"/>
      <c r="R369" s="20"/>
      <c r="S369" s="7"/>
      <c r="T369" s="20"/>
      <c r="U369" s="16">
        <f>SUM(Template!$N369:$O369)*Template!$P369+Template!$Q369</f>
        <v>19701.74</v>
      </c>
      <c r="V369" s="17" t="str">
        <f>IF(Template!$M369="CONSELHO","N",IF(Template!$AA369="N","N1",IF(Template!$AA369="N1","N2",IF(Template!$AA369="N2","N3",IF(Template!$AA369="N3","N4",IF(Template!$AA369="N4","N5",IF(Template!$AA369="N5","N6",IF(Template!$AA369="N6","N7",IF(Template!$AA369="N7","N8",IF(Template!$AA369="N8","N9",IF(Template!$AA369="N9","N10","NA")))))))))))</f>
        <v>N4</v>
      </c>
      <c r="W369" s="17">
        <f>COUNTIF(Template!$M$3:$M$619,Template!$D369)</f>
        <v>0</v>
      </c>
      <c r="X369" s="17" t="str">
        <f>IF(Template!$F369="","",SUMIF(Template!$M$3:$M$619,Template!$D369,Template!$AC$3:$AC$619))</f>
        <v/>
      </c>
      <c r="Y369" s="17" t="str">
        <f>IFERROR(VLOOKUP(Template!$M369,Template!$D$3:$G$619,MATCH("EmployeeJobTitle",Template!$D$2:$G$2,0),FALSE),"NA")</f>
        <v>GERENTE DE LOJA</v>
      </c>
      <c r="Z369" s="17" t="str">
        <f>IFERROR(VLOOKUP(Template!$M369,Template!$D$3:$G$619,MATCH("EmployeeGroup",Template!$D$2:$G$2,0),FALSE),"NA")</f>
        <v>GERENTE</v>
      </c>
      <c r="AA369" s="17" t="str">
        <f>IFERROR(VLOOKUP(Template!$M369,Template!$D$3:$V$619,MATCH("Layer",Template!$D$2:$V$2,0),FALSE),"NA")</f>
        <v>N3</v>
      </c>
      <c r="AB369" s="21">
        <f>VLOOKUP(Template!$M369,Template!$D$3:$F$619,MATCH("InternalGrade",Template!$D$2:$F$2,0),FALSE)-Template!$F369</f>
        <v>0</v>
      </c>
      <c r="AC369" s="17">
        <f>IF(Template!$AB369&lt;=1, 0.8,IF(Template!$AB369=2,0.4,IF(Template!$AB369=3,0.2,IF(Template!$AB369=4,0.1,IF(Template!$AB369&gt;=5,0.05,"erro")))))</f>
        <v>0.8</v>
      </c>
      <c r="AD369" s="17" t="b">
        <f>Template!$D369=Template!$M369</f>
        <v>0</v>
      </c>
      <c r="AE369" s="12" t="s">
        <v>58</v>
      </c>
    </row>
    <row r="370" ht="15.75" customHeight="1">
      <c r="A370" s="7" t="s">
        <v>190</v>
      </c>
      <c r="B370" s="7" t="s">
        <v>160</v>
      </c>
      <c r="C370" s="7" t="s">
        <v>241</v>
      </c>
      <c r="D370" s="13">
        <v>17037.0</v>
      </c>
      <c r="E370" s="7" t="s">
        <v>199</v>
      </c>
      <c r="F370" s="13"/>
      <c r="G370" s="22" t="s">
        <v>200</v>
      </c>
      <c r="H370" s="7" t="s">
        <v>240</v>
      </c>
      <c r="I370" s="7" t="s">
        <v>239</v>
      </c>
      <c r="J370" s="7" t="s">
        <v>70</v>
      </c>
      <c r="K370" s="15">
        <v>43346.0</v>
      </c>
      <c r="L370" s="15">
        <v>28316.0</v>
      </c>
      <c r="M370" s="13">
        <v>12404.0</v>
      </c>
      <c r="N370" s="7">
        <v>5511.0</v>
      </c>
      <c r="O370" s="7"/>
      <c r="P370" s="7">
        <v>13.33</v>
      </c>
      <c r="Q370" s="7"/>
      <c r="R370" s="20"/>
      <c r="S370" s="7"/>
      <c r="T370" s="20"/>
      <c r="U370" s="16">
        <f>SUM(Template!$N370:$O370)*Template!$P370+Template!$Q370</f>
        <v>73461.63</v>
      </c>
      <c r="V370" s="17" t="str">
        <f>IF(Template!$M370="CONSELHO","N",IF(Template!$AA370="N","N1",IF(Template!$AA370="N1","N2",IF(Template!$AA370="N2","N3",IF(Template!$AA370="N3","N4",IF(Template!$AA370="N4","N5",IF(Template!$AA370="N5","N6",IF(Template!$AA370="N6","N7",IF(Template!$AA370="N7","N8",IF(Template!$AA370="N8","N9",IF(Template!$AA370="N9","N10","NA")))))))))))</f>
        <v>N3</v>
      </c>
      <c r="W370" s="17">
        <f>COUNTIF(Template!$M$3:$M$619,Template!$D370)</f>
        <v>9</v>
      </c>
      <c r="X370" s="17" t="str">
        <f>IF(Template!$F370="","",SUMIF(Template!$M$3:$M$619,Template!$D370,Template!$AC$3:$AC$619))</f>
        <v/>
      </c>
      <c r="Y370" s="17" t="str">
        <f>IFERROR(VLOOKUP(Template!$M370,Template!$D$3:$G$619,MATCH("EmployeeJobTitle",Template!$D$2:$G$2,0),FALSE),"NA")</f>
        <v>GERENTE COMERCIAL</v>
      </c>
      <c r="Z370" s="17" t="str">
        <f>IFERROR(VLOOKUP(Template!$M370,Template!$D$3:$G$619,MATCH("EmployeeGroup",Template!$D$2:$G$2,0),FALSE),"NA")</f>
        <v>Coordenador</v>
      </c>
      <c r="AA370" s="17" t="str">
        <f>IFERROR(VLOOKUP(Template!$M370,Template!$D$3:$V$619,MATCH("Layer",Template!$D$2:$V$2,0),FALSE),"NA")</f>
        <v>N2</v>
      </c>
      <c r="AB370" s="21">
        <f>VLOOKUP(Template!$M370,Template!$D$3:$F$619,MATCH("InternalGrade",Template!$D$2:$F$2,0),FALSE)-Template!$F370</f>
        <v>19</v>
      </c>
      <c r="AC370" s="17">
        <f>IF(Template!$AB370&lt;=1, 0.8,IF(Template!$AB370=2,0.4,IF(Template!$AB370=3,0.2,IF(Template!$AB370=4,0.1,IF(Template!$AB370&gt;=5,0.05,"erro")))))</f>
        <v>0.05</v>
      </c>
      <c r="AD370" s="17" t="b">
        <f>Template!$D370=Template!$M370</f>
        <v>0</v>
      </c>
      <c r="AE370" s="12" t="s">
        <v>58</v>
      </c>
    </row>
    <row r="371" ht="15.75" customHeight="1">
      <c r="A371" s="7" t="s">
        <v>190</v>
      </c>
      <c r="B371" s="7" t="s">
        <v>160</v>
      </c>
      <c r="C371" s="7" t="s">
        <v>241</v>
      </c>
      <c r="D371" s="13">
        <v>18746.0</v>
      </c>
      <c r="E371" s="7" t="s">
        <v>198</v>
      </c>
      <c r="F371" s="13"/>
      <c r="G371" s="14" t="s">
        <v>63</v>
      </c>
      <c r="H371" s="7" t="s">
        <v>240</v>
      </c>
      <c r="I371" s="7" t="s">
        <v>239</v>
      </c>
      <c r="J371" s="7" t="s">
        <v>70</v>
      </c>
      <c r="K371" s="15">
        <v>44091.0</v>
      </c>
      <c r="L371" s="15">
        <v>26399.0</v>
      </c>
      <c r="M371" s="13">
        <v>17037.0</v>
      </c>
      <c r="N371" s="7">
        <v>1669.0</v>
      </c>
      <c r="O371" s="7"/>
      <c r="P371" s="7">
        <v>13.33</v>
      </c>
      <c r="Q371" s="7"/>
      <c r="R371" s="20"/>
      <c r="S371" s="7"/>
      <c r="T371" s="20"/>
      <c r="U371" s="16">
        <f>SUM(Template!$N371:$O371)*Template!$P371+Template!$Q371</f>
        <v>22247.77</v>
      </c>
      <c r="V371" s="17" t="str">
        <f>IF(Template!$M371="CONSELHO","N",IF(Template!$AA371="N","N1",IF(Template!$AA371="N1","N2",IF(Template!$AA371="N2","N3",IF(Template!$AA371="N3","N4",IF(Template!$AA371="N4","N5",IF(Template!$AA371="N5","N6",IF(Template!$AA371="N6","N7",IF(Template!$AA371="N7","N8",IF(Template!$AA371="N8","N9",IF(Template!$AA371="N9","N10","NA")))))))))))</f>
        <v>N4</v>
      </c>
      <c r="W371" s="17">
        <f>COUNTIF(Template!$M$3:$M$619,Template!$D371)</f>
        <v>0</v>
      </c>
      <c r="X371" s="17" t="str">
        <f>IF(Template!$F371="","",SUMIF(Template!$M$3:$M$619,Template!$D371,Template!$AC$3:$AC$619))</f>
        <v/>
      </c>
      <c r="Y371" s="17" t="str">
        <f>IFERROR(VLOOKUP(Template!$M371,Template!$D$3:$G$619,MATCH("EmployeeJobTitle",Template!$D$2:$G$2,0),FALSE),"NA")</f>
        <v>GERENTE DE LOJA</v>
      </c>
      <c r="Z371" s="17" t="str">
        <f>IFERROR(VLOOKUP(Template!$M371,Template!$D$3:$G$619,MATCH("EmployeeGroup",Template!$D$2:$G$2,0),FALSE),"NA")</f>
        <v>GERENTE</v>
      </c>
      <c r="AA371" s="17" t="str">
        <f>IFERROR(VLOOKUP(Template!$M371,Template!$D$3:$V$619,MATCH("Layer",Template!$D$2:$V$2,0),FALSE),"NA")</f>
        <v>N3</v>
      </c>
      <c r="AB371" s="21">
        <f>VLOOKUP(Template!$M371,Template!$D$3:$F$619,MATCH("InternalGrade",Template!$D$2:$F$2,0),FALSE)-Template!$F371</f>
        <v>0</v>
      </c>
      <c r="AC371" s="17">
        <f>IF(Template!$AB371&lt;=1, 0.8,IF(Template!$AB371=2,0.4,IF(Template!$AB371=3,0.2,IF(Template!$AB371=4,0.1,IF(Template!$AB371&gt;=5,0.05,"erro")))))</f>
        <v>0.8</v>
      </c>
      <c r="AD371" s="17" t="b">
        <f>Template!$D371=Template!$M371</f>
        <v>0</v>
      </c>
      <c r="AE371" s="12" t="s">
        <v>58</v>
      </c>
    </row>
    <row r="372" ht="15.75" customHeight="1">
      <c r="A372" s="7" t="s">
        <v>190</v>
      </c>
      <c r="B372" s="7" t="s">
        <v>160</v>
      </c>
      <c r="C372" s="7" t="s">
        <v>241</v>
      </c>
      <c r="D372" s="13">
        <v>25077.0</v>
      </c>
      <c r="E372" s="7" t="s">
        <v>198</v>
      </c>
      <c r="F372" s="13"/>
      <c r="G372" s="14" t="s">
        <v>63</v>
      </c>
      <c r="H372" s="7" t="s">
        <v>240</v>
      </c>
      <c r="I372" s="7" t="s">
        <v>239</v>
      </c>
      <c r="J372" s="7" t="s">
        <v>70</v>
      </c>
      <c r="K372" s="15">
        <v>45432.0</v>
      </c>
      <c r="L372" s="15">
        <v>38101.0</v>
      </c>
      <c r="M372" s="13">
        <v>17037.0</v>
      </c>
      <c r="N372" s="7">
        <v>1478.0</v>
      </c>
      <c r="O372" s="7"/>
      <c r="P372" s="7">
        <v>13.33</v>
      </c>
      <c r="Q372" s="7"/>
      <c r="R372" s="20"/>
      <c r="S372" s="7"/>
      <c r="T372" s="20"/>
      <c r="U372" s="16">
        <f>SUM(Template!$N372:$O372)*Template!$P372+Template!$Q372</f>
        <v>19701.74</v>
      </c>
      <c r="V372" s="17" t="str">
        <f>IF(Template!$M372="CONSELHO","N",IF(Template!$AA372="N","N1",IF(Template!$AA372="N1","N2",IF(Template!$AA372="N2","N3",IF(Template!$AA372="N3","N4",IF(Template!$AA372="N4","N5",IF(Template!$AA372="N5","N6",IF(Template!$AA372="N6","N7",IF(Template!$AA372="N7","N8",IF(Template!$AA372="N8","N9",IF(Template!$AA372="N9","N10","NA")))))))))))</f>
        <v>N4</v>
      </c>
      <c r="W372" s="17">
        <f>COUNTIF(Template!$M$3:$M$619,Template!$D372)</f>
        <v>0</v>
      </c>
      <c r="X372" s="17" t="str">
        <f>IF(Template!$F372="","",SUMIF(Template!$M$3:$M$619,Template!$D372,Template!$AC$3:$AC$619))</f>
        <v/>
      </c>
      <c r="Y372" s="17" t="str">
        <f>IFERROR(VLOOKUP(Template!$M372,Template!$D$3:$G$619,MATCH("EmployeeJobTitle",Template!$D$2:$G$2,0),FALSE),"NA")</f>
        <v>GERENTE DE LOJA</v>
      </c>
      <c r="Z372" s="17" t="str">
        <f>IFERROR(VLOOKUP(Template!$M372,Template!$D$3:$G$619,MATCH("EmployeeGroup",Template!$D$2:$G$2,0),FALSE),"NA")</f>
        <v>GERENTE</v>
      </c>
      <c r="AA372" s="17" t="str">
        <f>IFERROR(VLOOKUP(Template!$M372,Template!$D$3:$V$619,MATCH("Layer",Template!$D$2:$V$2,0),FALSE),"NA")</f>
        <v>N3</v>
      </c>
      <c r="AB372" s="21">
        <f>VLOOKUP(Template!$M372,Template!$D$3:$F$619,MATCH("InternalGrade",Template!$D$2:$F$2,0),FALSE)-Template!$F372</f>
        <v>0</v>
      </c>
      <c r="AC372" s="17">
        <f>IF(Template!$AB372&lt;=1, 0.8,IF(Template!$AB372=2,0.4,IF(Template!$AB372=3,0.2,IF(Template!$AB372=4,0.1,IF(Template!$AB372&gt;=5,0.05,"erro")))))</f>
        <v>0.8</v>
      </c>
      <c r="AD372" s="17" t="b">
        <f>Template!$D372=Template!$M372</f>
        <v>0</v>
      </c>
      <c r="AE372" s="12" t="s">
        <v>58</v>
      </c>
    </row>
    <row r="373" ht="15.75" customHeight="1">
      <c r="A373" s="7" t="s">
        <v>190</v>
      </c>
      <c r="B373" s="7" t="s">
        <v>160</v>
      </c>
      <c r="C373" s="7" t="s">
        <v>241</v>
      </c>
      <c r="D373" s="13">
        <v>24511.0</v>
      </c>
      <c r="E373" s="7" t="s">
        <v>193</v>
      </c>
      <c r="F373" s="13"/>
      <c r="G373" s="14" t="s">
        <v>63</v>
      </c>
      <c r="H373" s="7" t="s">
        <v>240</v>
      </c>
      <c r="I373" s="7" t="s">
        <v>239</v>
      </c>
      <c r="J373" s="7" t="s">
        <v>70</v>
      </c>
      <c r="K373" s="15">
        <v>45236.0</v>
      </c>
      <c r="L373" s="15">
        <v>29300.0</v>
      </c>
      <c r="M373" s="13">
        <v>17037.0</v>
      </c>
      <c r="N373" s="7"/>
      <c r="O373" s="7"/>
      <c r="P373" s="7">
        <v>13.33</v>
      </c>
      <c r="Q373" s="7"/>
      <c r="R373" s="20"/>
      <c r="S373" s="7"/>
      <c r="T373" s="20"/>
      <c r="U373" s="16">
        <f>SUM(Template!$N373:$O373)*Template!$P373+Template!$Q373</f>
        <v>0</v>
      </c>
      <c r="V373" s="17" t="str">
        <f>IF(Template!$M373="CONSELHO","N",IF(Template!$AA373="N","N1",IF(Template!$AA373="N1","N2",IF(Template!$AA373="N2","N3",IF(Template!$AA373="N3","N4",IF(Template!$AA373="N4","N5",IF(Template!$AA373="N5","N6",IF(Template!$AA373="N6","N7",IF(Template!$AA373="N7","N8",IF(Template!$AA373="N8","N9",IF(Template!$AA373="N9","N10","NA")))))))))))</f>
        <v>N4</v>
      </c>
      <c r="W373" s="17">
        <f>COUNTIF(Template!$M$3:$M$619,Template!$D373)</f>
        <v>0</v>
      </c>
      <c r="X373" s="17" t="str">
        <f>IF(Template!$F373="","",SUMIF(Template!$M$3:$M$619,Template!$D373,Template!$AC$3:$AC$619))</f>
        <v/>
      </c>
      <c r="Y373" s="17" t="str">
        <f>IFERROR(VLOOKUP(Template!$M373,Template!$D$3:$G$619,MATCH("EmployeeJobTitle",Template!$D$2:$G$2,0),FALSE),"NA")</f>
        <v>GERENTE DE LOJA</v>
      </c>
      <c r="Z373" s="17" t="str">
        <f>IFERROR(VLOOKUP(Template!$M373,Template!$D$3:$G$619,MATCH("EmployeeGroup",Template!$D$2:$G$2,0),FALSE),"NA")</f>
        <v>GERENTE</v>
      </c>
      <c r="AA373" s="17" t="str">
        <f>IFERROR(VLOOKUP(Template!$M373,Template!$D$3:$V$619,MATCH("Layer",Template!$D$2:$V$2,0),FALSE),"NA")</f>
        <v>N3</v>
      </c>
      <c r="AB373" s="21">
        <f>VLOOKUP(Template!$M373,Template!$D$3:$F$619,MATCH("InternalGrade",Template!$D$2:$F$2,0),FALSE)-Template!$F373</f>
        <v>0</v>
      </c>
      <c r="AC373" s="17">
        <f>IF(Template!$AB373&lt;=1, 0.8,IF(Template!$AB373=2,0.4,IF(Template!$AB373=3,0.2,IF(Template!$AB373=4,0.1,IF(Template!$AB373&gt;=5,0.05,"erro")))))</f>
        <v>0.8</v>
      </c>
      <c r="AD373" s="17" t="b">
        <f>Template!$D373=Template!$M373</f>
        <v>0</v>
      </c>
      <c r="AE373" s="12" t="s">
        <v>58</v>
      </c>
    </row>
    <row r="374" ht="15.75" customHeight="1">
      <c r="A374" s="7" t="s">
        <v>190</v>
      </c>
      <c r="B374" s="7" t="s">
        <v>160</v>
      </c>
      <c r="C374" s="7" t="s">
        <v>241</v>
      </c>
      <c r="D374" s="13">
        <v>19408.0</v>
      </c>
      <c r="E374" s="7" t="s">
        <v>196</v>
      </c>
      <c r="F374" s="13"/>
      <c r="G374" s="14" t="s">
        <v>63</v>
      </c>
      <c r="H374" s="7" t="s">
        <v>240</v>
      </c>
      <c r="I374" s="7" t="s">
        <v>239</v>
      </c>
      <c r="J374" s="7" t="s">
        <v>70</v>
      </c>
      <c r="K374" s="15">
        <v>44245.0</v>
      </c>
      <c r="L374" s="15">
        <v>29795.0</v>
      </c>
      <c r="M374" s="13">
        <v>17037.0</v>
      </c>
      <c r="N374" s="7">
        <v>1626.0</v>
      </c>
      <c r="O374" s="7"/>
      <c r="P374" s="7">
        <v>13.33</v>
      </c>
      <c r="Q374" s="7"/>
      <c r="R374" s="20"/>
      <c r="S374" s="7"/>
      <c r="T374" s="20"/>
      <c r="U374" s="16">
        <f>SUM(Template!$N374:$O374)*Template!$P374+Template!$Q374</f>
        <v>21674.58</v>
      </c>
      <c r="V374" s="17" t="str">
        <f>IF(Template!$M374="CONSELHO","N",IF(Template!$AA374="N","N1",IF(Template!$AA374="N1","N2",IF(Template!$AA374="N2","N3",IF(Template!$AA374="N3","N4",IF(Template!$AA374="N4","N5",IF(Template!$AA374="N5","N6",IF(Template!$AA374="N6","N7",IF(Template!$AA374="N7","N8",IF(Template!$AA374="N8","N9",IF(Template!$AA374="N9","N10","NA")))))))))))</f>
        <v>N4</v>
      </c>
      <c r="W374" s="17">
        <f>COUNTIF(Template!$M$3:$M$619,Template!$D374)</f>
        <v>0</v>
      </c>
      <c r="X374" s="17" t="str">
        <f>IF(Template!$F374="","",SUMIF(Template!$M$3:$M$619,Template!$D374,Template!$AC$3:$AC$619))</f>
        <v/>
      </c>
      <c r="Y374" s="17" t="str">
        <f>IFERROR(VLOOKUP(Template!$M374,Template!$D$3:$G$619,MATCH("EmployeeJobTitle",Template!$D$2:$G$2,0),FALSE),"NA")</f>
        <v>GERENTE DE LOJA</v>
      </c>
      <c r="Z374" s="17" t="str">
        <f>IFERROR(VLOOKUP(Template!$M374,Template!$D$3:$G$619,MATCH("EmployeeGroup",Template!$D$2:$G$2,0),FALSE),"NA")</f>
        <v>GERENTE</v>
      </c>
      <c r="AA374" s="17" t="str">
        <f>IFERROR(VLOOKUP(Template!$M374,Template!$D$3:$V$619,MATCH("Layer",Template!$D$2:$V$2,0),FALSE),"NA")</f>
        <v>N3</v>
      </c>
      <c r="AB374" s="21">
        <f>VLOOKUP(Template!$M374,Template!$D$3:$F$619,MATCH("InternalGrade",Template!$D$2:$F$2,0),FALSE)-Template!$F374</f>
        <v>0</v>
      </c>
      <c r="AC374" s="17">
        <f>IF(Template!$AB374&lt;=1, 0.8,IF(Template!$AB374=2,0.4,IF(Template!$AB374=3,0.2,IF(Template!$AB374=4,0.1,IF(Template!$AB374&gt;=5,0.05,"erro")))))</f>
        <v>0.8</v>
      </c>
      <c r="AD374" s="17" t="b">
        <f>Template!$D374=Template!$M374</f>
        <v>0</v>
      </c>
      <c r="AE374" s="12" t="s">
        <v>58</v>
      </c>
    </row>
    <row r="375" ht="15.75" customHeight="1">
      <c r="A375" s="7" t="s">
        <v>190</v>
      </c>
      <c r="B375" s="7" t="s">
        <v>160</v>
      </c>
      <c r="C375" s="7" t="s">
        <v>241</v>
      </c>
      <c r="D375" s="13">
        <v>19966.0</v>
      </c>
      <c r="E375" s="7" t="s">
        <v>203</v>
      </c>
      <c r="F375" s="13"/>
      <c r="G375" s="14" t="s">
        <v>63</v>
      </c>
      <c r="H375" s="7" t="s">
        <v>240</v>
      </c>
      <c r="I375" s="7" t="s">
        <v>239</v>
      </c>
      <c r="J375" s="7" t="s">
        <v>70</v>
      </c>
      <c r="K375" s="15">
        <v>44516.0</v>
      </c>
      <c r="L375" s="15">
        <v>29336.0</v>
      </c>
      <c r="M375" s="13">
        <v>17037.0</v>
      </c>
      <c r="N375" s="7"/>
      <c r="O375" s="7"/>
      <c r="P375" s="7">
        <v>13.33</v>
      </c>
      <c r="Q375" s="7"/>
      <c r="R375" s="20"/>
      <c r="S375" s="7"/>
      <c r="T375" s="20"/>
      <c r="U375" s="16">
        <f>SUM(Template!$N375:$O375)*Template!$P375+Template!$Q375</f>
        <v>0</v>
      </c>
      <c r="V375" s="17" t="str">
        <f>IF(Template!$M375="CONSELHO","N",IF(Template!$AA375="N","N1",IF(Template!$AA375="N1","N2",IF(Template!$AA375="N2","N3",IF(Template!$AA375="N3","N4",IF(Template!$AA375="N4","N5",IF(Template!$AA375="N5","N6",IF(Template!$AA375="N6","N7",IF(Template!$AA375="N7","N8",IF(Template!$AA375="N8","N9",IF(Template!$AA375="N9","N10","NA")))))))))))</f>
        <v>N4</v>
      </c>
      <c r="W375" s="17">
        <f>COUNTIF(Template!$M$3:$M$619,Template!$D375)</f>
        <v>0</v>
      </c>
      <c r="X375" s="17" t="str">
        <f>IF(Template!$F375="","",SUMIF(Template!$M$3:$M$619,Template!$D375,Template!$AC$3:$AC$619))</f>
        <v/>
      </c>
      <c r="Y375" s="17" t="str">
        <f>IFERROR(VLOOKUP(Template!$M375,Template!$D$3:$G$619,MATCH("EmployeeJobTitle",Template!$D$2:$G$2,0),FALSE),"NA")</f>
        <v>GERENTE DE LOJA</v>
      </c>
      <c r="Z375" s="17" t="str">
        <f>IFERROR(VLOOKUP(Template!$M375,Template!$D$3:$G$619,MATCH("EmployeeGroup",Template!$D$2:$G$2,0),FALSE),"NA")</f>
        <v>GERENTE</v>
      </c>
      <c r="AA375" s="17" t="str">
        <f>IFERROR(VLOOKUP(Template!$M375,Template!$D$3:$V$619,MATCH("Layer",Template!$D$2:$V$2,0),FALSE),"NA")</f>
        <v>N3</v>
      </c>
      <c r="AB375" s="21">
        <f>VLOOKUP(Template!$M375,Template!$D$3:$F$619,MATCH("InternalGrade",Template!$D$2:$F$2,0),FALSE)-Template!$F375</f>
        <v>0</v>
      </c>
      <c r="AC375" s="17">
        <f>IF(Template!$AB375&lt;=1, 0.8,IF(Template!$AB375=2,0.4,IF(Template!$AB375=3,0.2,IF(Template!$AB375=4,0.1,IF(Template!$AB375&gt;=5,0.05,"erro")))))</f>
        <v>0.8</v>
      </c>
      <c r="AD375" s="17" t="b">
        <f>Template!$D375=Template!$M375</f>
        <v>0</v>
      </c>
      <c r="AE375" s="12" t="s">
        <v>58</v>
      </c>
    </row>
    <row r="376" ht="15.75" customHeight="1">
      <c r="A376" s="7" t="s">
        <v>190</v>
      </c>
      <c r="B376" s="7" t="s">
        <v>160</v>
      </c>
      <c r="C376" s="7" t="s">
        <v>241</v>
      </c>
      <c r="D376" s="13">
        <v>25457.0</v>
      </c>
      <c r="E376" s="7" t="s">
        <v>193</v>
      </c>
      <c r="F376" s="13"/>
      <c r="G376" s="14" t="s">
        <v>63</v>
      </c>
      <c r="H376" s="7" t="s">
        <v>240</v>
      </c>
      <c r="I376" s="7" t="s">
        <v>239</v>
      </c>
      <c r="J376" s="7" t="s">
        <v>70</v>
      </c>
      <c r="K376" s="15">
        <v>45579.0</v>
      </c>
      <c r="L376" s="15">
        <v>34686.0</v>
      </c>
      <c r="M376" s="13">
        <v>17037.0</v>
      </c>
      <c r="N376" s="7"/>
      <c r="O376" s="7"/>
      <c r="P376" s="7">
        <v>13.33</v>
      </c>
      <c r="Q376" s="7"/>
      <c r="R376" s="20"/>
      <c r="S376" s="7"/>
      <c r="T376" s="20"/>
      <c r="U376" s="16">
        <f>SUM(Template!$N376:$O376)*Template!$P376+Template!$Q376</f>
        <v>0</v>
      </c>
      <c r="V376" s="17" t="str">
        <f>IF(Template!$M376="CONSELHO","N",IF(Template!$AA376="N","N1",IF(Template!$AA376="N1","N2",IF(Template!$AA376="N2","N3",IF(Template!$AA376="N3","N4",IF(Template!$AA376="N4","N5",IF(Template!$AA376="N5","N6",IF(Template!$AA376="N6","N7",IF(Template!$AA376="N7","N8",IF(Template!$AA376="N8","N9",IF(Template!$AA376="N9","N10","NA")))))))))))</f>
        <v>N4</v>
      </c>
      <c r="W376" s="17">
        <f>COUNTIF(Template!$M$3:$M$619,Template!$D376)</f>
        <v>0</v>
      </c>
      <c r="X376" s="17" t="str">
        <f>IF(Template!$F376="","",SUMIF(Template!$M$3:$M$619,Template!$D376,Template!$AC$3:$AC$619))</f>
        <v/>
      </c>
      <c r="Y376" s="17" t="str">
        <f>IFERROR(VLOOKUP(Template!$M376,Template!$D$3:$G$619,MATCH("EmployeeJobTitle",Template!$D$2:$G$2,0),FALSE),"NA")</f>
        <v>GERENTE DE LOJA</v>
      </c>
      <c r="Z376" s="17" t="str">
        <f>IFERROR(VLOOKUP(Template!$M376,Template!$D$3:$G$619,MATCH("EmployeeGroup",Template!$D$2:$G$2,0),FALSE),"NA")</f>
        <v>GERENTE</v>
      </c>
      <c r="AA376" s="17" t="str">
        <f>IFERROR(VLOOKUP(Template!$M376,Template!$D$3:$V$619,MATCH("Layer",Template!$D$2:$V$2,0),FALSE),"NA")</f>
        <v>N3</v>
      </c>
      <c r="AB376" s="21">
        <f>VLOOKUP(Template!$M376,Template!$D$3:$F$619,MATCH("InternalGrade",Template!$D$2:$F$2,0),FALSE)-Template!$F376</f>
        <v>0</v>
      </c>
      <c r="AC376" s="17">
        <f>IF(Template!$AB376&lt;=1, 0.8,IF(Template!$AB376=2,0.4,IF(Template!$AB376=3,0.2,IF(Template!$AB376=4,0.1,IF(Template!$AB376&gt;=5,0.05,"erro")))))</f>
        <v>0.8</v>
      </c>
      <c r="AD376" s="17" t="b">
        <f>Template!$D376=Template!$M376</f>
        <v>0</v>
      </c>
      <c r="AE376" s="12" t="s">
        <v>58</v>
      </c>
    </row>
    <row r="377" ht="15.75" customHeight="1">
      <c r="A377" s="7" t="s">
        <v>190</v>
      </c>
      <c r="B377" s="7" t="s">
        <v>160</v>
      </c>
      <c r="C377" s="7" t="s">
        <v>241</v>
      </c>
      <c r="D377" s="13">
        <v>15437.0</v>
      </c>
      <c r="E377" s="7" t="s">
        <v>193</v>
      </c>
      <c r="F377" s="13"/>
      <c r="G377" s="14" t="s">
        <v>63</v>
      </c>
      <c r="H377" s="7" t="s">
        <v>240</v>
      </c>
      <c r="I377" s="7" t="s">
        <v>239</v>
      </c>
      <c r="J377" s="7" t="s">
        <v>70</v>
      </c>
      <c r="K377" s="15">
        <v>42695.0</v>
      </c>
      <c r="L377" s="15">
        <v>31730.0</v>
      </c>
      <c r="M377" s="13">
        <v>17037.0</v>
      </c>
      <c r="N377" s="7"/>
      <c r="O377" s="7"/>
      <c r="P377" s="7">
        <v>13.33</v>
      </c>
      <c r="Q377" s="7"/>
      <c r="R377" s="20"/>
      <c r="S377" s="7"/>
      <c r="T377" s="20"/>
      <c r="U377" s="16">
        <f>SUM(Template!$N377:$O377)*Template!$P377+Template!$Q377</f>
        <v>0</v>
      </c>
      <c r="V377" s="17" t="str">
        <f>IF(Template!$M377="CONSELHO","N",IF(Template!$AA377="N","N1",IF(Template!$AA377="N1","N2",IF(Template!$AA377="N2","N3",IF(Template!$AA377="N3","N4",IF(Template!$AA377="N4","N5",IF(Template!$AA377="N5","N6",IF(Template!$AA377="N6","N7",IF(Template!$AA377="N7","N8",IF(Template!$AA377="N8","N9",IF(Template!$AA377="N9","N10","NA")))))))))))</f>
        <v>N4</v>
      </c>
      <c r="W377" s="17">
        <f>COUNTIF(Template!$M$3:$M$619,Template!$D377)</f>
        <v>0</v>
      </c>
      <c r="X377" s="17" t="str">
        <f>IF(Template!$F377="","",SUMIF(Template!$M$3:$M$619,Template!$D377,Template!$AC$3:$AC$619))</f>
        <v/>
      </c>
      <c r="Y377" s="17" t="str">
        <f>IFERROR(VLOOKUP(Template!$M377,Template!$D$3:$G$619,MATCH("EmployeeJobTitle",Template!$D$2:$G$2,0),FALSE),"NA")</f>
        <v>GERENTE DE LOJA</v>
      </c>
      <c r="Z377" s="17" t="str">
        <f>IFERROR(VLOOKUP(Template!$M377,Template!$D$3:$G$619,MATCH("EmployeeGroup",Template!$D$2:$G$2,0),FALSE),"NA")</f>
        <v>GERENTE</v>
      </c>
      <c r="AA377" s="17" t="str">
        <f>IFERROR(VLOOKUP(Template!$M377,Template!$D$3:$V$619,MATCH("Layer",Template!$D$2:$V$2,0),FALSE),"NA")</f>
        <v>N3</v>
      </c>
      <c r="AB377" s="21">
        <f>VLOOKUP(Template!$M377,Template!$D$3:$F$619,MATCH("InternalGrade",Template!$D$2:$F$2,0),FALSE)-Template!$F377</f>
        <v>0</v>
      </c>
      <c r="AC377" s="17">
        <f>IF(Template!$AB377&lt;=1, 0.8,IF(Template!$AB377=2,0.4,IF(Template!$AB377=3,0.2,IF(Template!$AB377=4,0.1,IF(Template!$AB377&gt;=5,0.05,"erro")))))</f>
        <v>0.8</v>
      </c>
      <c r="AD377" s="17" t="b">
        <f>Template!$D377=Template!$M377</f>
        <v>0</v>
      </c>
      <c r="AE377" s="12" t="s">
        <v>58</v>
      </c>
    </row>
    <row r="378" ht="15.75" customHeight="1">
      <c r="A378" s="7" t="s">
        <v>190</v>
      </c>
      <c r="B378" s="7" t="s">
        <v>160</v>
      </c>
      <c r="C378" s="7" t="s">
        <v>242</v>
      </c>
      <c r="D378" s="13">
        <v>25016.0</v>
      </c>
      <c r="E378" s="7" t="s">
        <v>196</v>
      </c>
      <c r="F378" s="13"/>
      <c r="G378" s="14" t="s">
        <v>63</v>
      </c>
      <c r="H378" s="7" t="s">
        <v>243</v>
      </c>
      <c r="I378" s="7" t="s">
        <v>244</v>
      </c>
      <c r="J378" s="7" t="s">
        <v>70</v>
      </c>
      <c r="K378" s="15">
        <v>45404.0</v>
      </c>
      <c r="L378" s="15">
        <v>29317.0</v>
      </c>
      <c r="M378" s="13">
        <v>24359.0</v>
      </c>
      <c r="N378" s="7">
        <v>1571.0</v>
      </c>
      <c r="O378" s="7"/>
      <c r="P378" s="7">
        <v>13.33</v>
      </c>
      <c r="Q378" s="7"/>
      <c r="R378" s="20"/>
      <c r="S378" s="7"/>
      <c r="T378" s="20"/>
      <c r="U378" s="16">
        <f>SUM(Template!$N378:$O378)*Template!$P378+Template!$Q378</f>
        <v>20941.43</v>
      </c>
      <c r="V378" s="17" t="str">
        <f>IF(Template!$M378="CONSELHO","N",IF(Template!$AA378="N","N1",IF(Template!$AA378="N1","N2",IF(Template!$AA378="N2","N3",IF(Template!$AA378="N3","N4",IF(Template!$AA378="N4","N5",IF(Template!$AA378="N5","N6",IF(Template!$AA378="N6","N7",IF(Template!$AA378="N7","N8",IF(Template!$AA378="N8","N9",IF(Template!$AA378="N9","N10","NA")))))))))))</f>
        <v>N4</v>
      </c>
      <c r="W378" s="17">
        <f>COUNTIF(Template!$M$3:$M$619,Template!$D378)</f>
        <v>0</v>
      </c>
      <c r="X378" s="17" t="str">
        <f>IF(Template!$F378="","",SUMIF(Template!$M$3:$M$619,Template!$D378,Template!$AC$3:$AC$619))</f>
        <v/>
      </c>
      <c r="Y378" s="17" t="str">
        <f>IFERROR(VLOOKUP(Template!$M378,Template!$D$3:$G$619,MATCH("EmployeeJobTitle",Template!$D$2:$G$2,0),FALSE),"NA")</f>
        <v>GERENTE DE LOJA</v>
      </c>
      <c r="Z378" s="17" t="str">
        <f>IFERROR(VLOOKUP(Template!$M378,Template!$D$3:$G$619,MATCH("EmployeeGroup",Template!$D$2:$G$2,0),FALSE),"NA")</f>
        <v>GERENTE</v>
      </c>
      <c r="AA378" s="17" t="str">
        <f>IFERROR(VLOOKUP(Template!$M378,Template!$D$3:$V$619,MATCH("Layer",Template!$D$2:$V$2,0),FALSE),"NA")</f>
        <v>N3</v>
      </c>
      <c r="AB378" s="21">
        <f>VLOOKUP(Template!$M378,Template!$D$3:$F$619,MATCH("InternalGrade",Template!$D$2:$F$2,0),FALSE)-Template!$F378</f>
        <v>0</v>
      </c>
      <c r="AC378" s="17">
        <f>IF(Template!$AB378&lt;=1, 0.8,IF(Template!$AB378=2,0.4,IF(Template!$AB378=3,0.2,IF(Template!$AB378=4,0.1,IF(Template!$AB378&gt;=5,0.05,"erro")))))</f>
        <v>0.8</v>
      </c>
      <c r="AD378" s="17" t="b">
        <f>Template!$D378=Template!$M378</f>
        <v>0</v>
      </c>
      <c r="AE378" s="12" t="s">
        <v>58</v>
      </c>
    </row>
    <row r="379" ht="15.75" customHeight="1">
      <c r="A379" s="7" t="s">
        <v>190</v>
      </c>
      <c r="B379" s="7" t="s">
        <v>160</v>
      </c>
      <c r="C379" s="7" t="s">
        <v>242</v>
      </c>
      <c r="D379" s="13">
        <v>24457.0</v>
      </c>
      <c r="E379" s="7" t="s">
        <v>193</v>
      </c>
      <c r="F379" s="13"/>
      <c r="G379" s="14" t="s">
        <v>63</v>
      </c>
      <c r="H379" s="7" t="s">
        <v>243</v>
      </c>
      <c r="I379" s="7" t="s">
        <v>244</v>
      </c>
      <c r="J379" s="7" t="s">
        <v>70</v>
      </c>
      <c r="K379" s="15">
        <v>45236.0</v>
      </c>
      <c r="L379" s="15">
        <v>29007.0</v>
      </c>
      <c r="M379" s="13">
        <v>24359.0</v>
      </c>
      <c r="N379" s="7"/>
      <c r="O379" s="7"/>
      <c r="P379" s="7">
        <v>13.33</v>
      </c>
      <c r="Q379" s="7"/>
      <c r="R379" s="20"/>
      <c r="S379" s="7"/>
      <c r="T379" s="20"/>
      <c r="U379" s="16">
        <f>SUM(Template!$N379:$O379)*Template!$P379+Template!$Q379</f>
        <v>0</v>
      </c>
      <c r="V379" s="17" t="str">
        <f>IF(Template!$M379="CONSELHO","N",IF(Template!$AA379="N","N1",IF(Template!$AA379="N1","N2",IF(Template!$AA379="N2","N3",IF(Template!$AA379="N3","N4",IF(Template!$AA379="N4","N5",IF(Template!$AA379="N5","N6",IF(Template!$AA379="N6","N7",IF(Template!$AA379="N7","N8",IF(Template!$AA379="N8","N9",IF(Template!$AA379="N9","N10","NA")))))))))))</f>
        <v>N4</v>
      </c>
      <c r="W379" s="17">
        <f>COUNTIF(Template!$M$3:$M$619,Template!$D379)</f>
        <v>0</v>
      </c>
      <c r="X379" s="17" t="str">
        <f>IF(Template!$F379="","",SUMIF(Template!$M$3:$M$619,Template!$D379,Template!$AC$3:$AC$619))</f>
        <v/>
      </c>
      <c r="Y379" s="17" t="str">
        <f>IFERROR(VLOOKUP(Template!$M379,Template!$D$3:$G$619,MATCH("EmployeeJobTitle",Template!$D$2:$G$2,0),FALSE),"NA")</f>
        <v>GERENTE DE LOJA</v>
      </c>
      <c r="Z379" s="17" t="str">
        <f>IFERROR(VLOOKUP(Template!$M379,Template!$D$3:$G$619,MATCH("EmployeeGroup",Template!$D$2:$G$2,0),FALSE),"NA")</f>
        <v>GERENTE</v>
      </c>
      <c r="AA379" s="17" t="str">
        <f>IFERROR(VLOOKUP(Template!$M379,Template!$D$3:$V$619,MATCH("Layer",Template!$D$2:$V$2,0),FALSE),"NA")</f>
        <v>N3</v>
      </c>
      <c r="AB379" s="21">
        <f>VLOOKUP(Template!$M379,Template!$D$3:$F$619,MATCH("InternalGrade",Template!$D$2:$F$2,0),FALSE)-Template!$F379</f>
        <v>0</v>
      </c>
      <c r="AC379" s="17">
        <f>IF(Template!$AB379&lt;=1, 0.8,IF(Template!$AB379=2,0.4,IF(Template!$AB379=3,0.2,IF(Template!$AB379=4,0.1,IF(Template!$AB379&gt;=5,0.05,"erro")))))</f>
        <v>0.8</v>
      </c>
      <c r="AD379" s="17" t="b">
        <f>Template!$D379=Template!$M379</f>
        <v>0</v>
      </c>
      <c r="AE379" s="12" t="s">
        <v>58</v>
      </c>
    </row>
    <row r="380" ht="15.75" customHeight="1">
      <c r="A380" s="7" t="s">
        <v>190</v>
      </c>
      <c r="B380" s="7" t="s">
        <v>160</v>
      </c>
      <c r="C380" s="7" t="s">
        <v>242</v>
      </c>
      <c r="D380" s="13">
        <v>23729.0</v>
      </c>
      <c r="E380" s="7" t="s">
        <v>193</v>
      </c>
      <c r="F380" s="13"/>
      <c r="G380" s="14" t="s">
        <v>63</v>
      </c>
      <c r="H380" s="7" t="s">
        <v>243</v>
      </c>
      <c r="I380" s="7" t="s">
        <v>244</v>
      </c>
      <c r="J380" s="7" t="s">
        <v>70</v>
      </c>
      <c r="K380" s="15">
        <v>44958.0</v>
      </c>
      <c r="L380" s="15">
        <v>33866.0</v>
      </c>
      <c r="M380" s="13">
        <v>24359.0</v>
      </c>
      <c r="N380" s="7"/>
      <c r="O380" s="7"/>
      <c r="P380" s="7">
        <v>13.33</v>
      </c>
      <c r="Q380" s="7"/>
      <c r="R380" s="20"/>
      <c r="S380" s="7"/>
      <c r="T380" s="20"/>
      <c r="U380" s="16">
        <f>SUM(Template!$N380:$O380)*Template!$P380+Template!$Q380</f>
        <v>0</v>
      </c>
      <c r="V380" s="17" t="str">
        <f>IF(Template!$M380="CONSELHO","N",IF(Template!$AA380="N","N1",IF(Template!$AA380="N1","N2",IF(Template!$AA380="N2","N3",IF(Template!$AA380="N3","N4",IF(Template!$AA380="N4","N5",IF(Template!$AA380="N5","N6",IF(Template!$AA380="N6","N7",IF(Template!$AA380="N7","N8",IF(Template!$AA380="N8","N9",IF(Template!$AA380="N9","N10","NA")))))))))))</f>
        <v>N4</v>
      </c>
      <c r="W380" s="17">
        <f>COUNTIF(Template!$M$3:$M$619,Template!$D380)</f>
        <v>0</v>
      </c>
      <c r="X380" s="17" t="str">
        <f>IF(Template!$F380="","",SUMIF(Template!$M$3:$M$619,Template!$D380,Template!$AC$3:$AC$619))</f>
        <v/>
      </c>
      <c r="Y380" s="17" t="str">
        <f>IFERROR(VLOOKUP(Template!$M380,Template!$D$3:$G$619,MATCH("EmployeeJobTitle",Template!$D$2:$G$2,0),FALSE),"NA")</f>
        <v>GERENTE DE LOJA</v>
      </c>
      <c r="Z380" s="17" t="str">
        <f>IFERROR(VLOOKUP(Template!$M380,Template!$D$3:$G$619,MATCH("EmployeeGroup",Template!$D$2:$G$2,0),FALSE),"NA")</f>
        <v>GERENTE</v>
      </c>
      <c r="AA380" s="17" t="str">
        <f>IFERROR(VLOOKUP(Template!$M380,Template!$D$3:$V$619,MATCH("Layer",Template!$D$2:$V$2,0),FALSE),"NA")</f>
        <v>N3</v>
      </c>
      <c r="AB380" s="21">
        <f>VLOOKUP(Template!$M380,Template!$D$3:$F$619,MATCH("InternalGrade",Template!$D$2:$F$2,0),FALSE)-Template!$F380</f>
        <v>0</v>
      </c>
      <c r="AC380" s="17">
        <f>IF(Template!$AB380&lt;=1, 0.8,IF(Template!$AB380=2,0.4,IF(Template!$AB380=3,0.2,IF(Template!$AB380=4,0.1,IF(Template!$AB380&gt;=5,0.05,"erro")))))</f>
        <v>0.8</v>
      </c>
      <c r="AD380" s="17" t="b">
        <f>Template!$D380=Template!$M380</f>
        <v>0</v>
      </c>
      <c r="AE380" s="12" t="s">
        <v>58</v>
      </c>
    </row>
    <row r="381" ht="15.75" customHeight="1">
      <c r="A381" s="7" t="s">
        <v>190</v>
      </c>
      <c r="B381" s="7" t="s">
        <v>160</v>
      </c>
      <c r="C381" s="7" t="s">
        <v>242</v>
      </c>
      <c r="D381" s="13">
        <v>19565.0</v>
      </c>
      <c r="E381" s="7" t="s">
        <v>193</v>
      </c>
      <c r="F381" s="13"/>
      <c r="G381" s="14" t="s">
        <v>63</v>
      </c>
      <c r="H381" s="7" t="s">
        <v>243</v>
      </c>
      <c r="I381" s="7" t="s">
        <v>244</v>
      </c>
      <c r="J381" s="7" t="s">
        <v>70</v>
      </c>
      <c r="K381" s="15">
        <v>44337.0</v>
      </c>
      <c r="L381" s="15">
        <v>35064.0</v>
      </c>
      <c r="M381" s="13">
        <v>24359.0</v>
      </c>
      <c r="N381" s="7"/>
      <c r="O381" s="7"/>
      <c r="P381" s="7">
        <v>13.33</v>
      </c>
      <c r="Q381" s="7"/>
      <c r="R381" s="20"/>
      <c r="S381" s="7"/>
      <c r="T381" s="20"/>
      <c r="U381" s="16">
        <f>SUM(Template!$N381:$O381)*Template!$P381+Template!$Q381</f>
        <v>0</v>
      </c>
      <c r="V381" s="17" t="str">
        <f>IF(Template!$M381="CONSELHO","N",IF(Template!$AA381="N","N1",IF(Template!$AA381="N1","N2",IF(Template!$AA381="N2","N3",IF(Template!$AA381="N3","N4",IF(Template!$AA381="N4","N5",IF(Template!$AA381="N5","N6",IF(Template!$AA381="N6","N7",IF(Template!$AA381="N7","N8",IF(Template!$AA381="N8","N9",IF(Template!$AA381="N9","N10","NA")))))))))))</f>
        <v>N4</v>
      </c>
      <c r="W381" s="17">
        <f>COUNTIF(Template!$M$3:$M$619,Template!$D381)</f>
        <v>0</v>
      </c>
      <c r="X381" s="17" t="str">
        <f>IF(Template!$F381="","",SUMIF(Template!$M$3:$M$619,Template!$D381,Template!$AC$3:$AC$619))</f>
        <v/>
      </c>
      <c r="Y381" s="17" t="str">
        <f>IFERROR(VLOOKUP(Template!$M381,Template!$D$3:$G$619,MATCH("EmployeeJobTitle",Template!$D$2:$G$2,0),FALSE),"NA")</f>
        <v>GERENTE DE LOJA</v>
      </c>
      <c r="Z381" s="17" t="str">
        <f>IFERROR(VLOOKUP(Template!$M381,Template!$D$3:$G$619,MATCH("EmployeeGroup",Template!$D$2:$G$2,0),FALSE),"NA")</f>
        <v>GERENTE</v>
      </c>
      <c r="AA381" s="17" t="str">
        <f>IFERROR(VLOOKUP(Template!$M381,Template!$D$3:$V$619,MATCH("Layer",Template!$D$2:$V$2,0),FALSE),"NA")</f>
        <v>N3</v>
      </c>
      <c r="AB381" s="21">
        <f>VLOOKUP(Template!$M381,Template!$D$3:$F$619,MATCH("InternalGrade",Template!$D$2:$F$2,0),FALSE)-Template!$F381</f>
        <v>0</v>
      </c>
      <c r="AC381" s="17">
        <f>IF(Template!$AB381&lt;=1, 0.8,IF(Template!$AB381=2,0.4,IF(Template!$AB381=3,0.2,IF(Template!$AB381=4,0.1,IF(Template!$AB381&gt;=5,0.05,"erro")))))</f>
        <v>0.8</v>
      </c>
      <c r="AD381" s="17" t="b">
        <f>Template!$D381=Template!$M381</f>
        <v>0</v>
      </c>
      <c r="AE381" s="12" t="s">
        <v>58</v>
      </c>
    </row>
    <row r="382" ht="15.75" customHeight="1">
      <c r="A382" s="7" t="s">
        <v>190</v>
      </c>
      <c r="B382" s="7" t="s">
        <v>160</v>
      </c>
      <c r="C382" s="7" t="s">
        <v>242</v>
      </c>
      <c r="D382" s="13">
        <v>17265.0</v>
      </c>
      <c r="E382" s="7" t="s">
        <v>204</v>
      </c>
      <c r="F382" s="13"/>
      <c r="G382" s="14" t="s">
        <v>63</v>
      </c>
      <c r="H382" s="7" t="s">
        <v>243</v>
      </c>
      <c r="I382" s="7" t="s">
        <v>244</v>
      </c>
      <c r="J382" s="7" t="s">
        <v>70</v>
      </c>
      <c r="K382" s="15">
        <v>43423.0</v>
      </c>
      <c r="L382" s="15">
        <v>33745.0</v>
      </c>
      <c r="M382" s="13">
        <v>24359.0</v>
      </c>
      <c r="N382" s="7"/>
      <c r="O382" s="7"/>
      <c r="P382" s="7">
        <v>13.33</v>
      </c>
      <c r="Q382" s="7"/>
      <c r="R382" s="20"/>
      <c r="S382" s="7"/>
      <c r="T382" s="20"/>
      <c r="U382" s="16">
        <f>SUM(Template!$N382:$O382)*Template!$P382+Template!$Q382</f>
        <v>0</v>
      </c>
      <c r="V382" s="17" t="str">
        <f>IF(Template!$M382="CONSELHO","N",IF(Template!$AA382="N","N1",IF(Template!$AA382="N1","N2",IF(Template!$AA382="N2","N3",IF(Template!$AA382="N3","N4",IF(Template!$AA382="N4","N5",IF(Template!$AA382="N5","N6",IF(Template!$AA382="N6","N7",IF(Template!$AA382="N7","N8",IF(Template!$AA382="N8","N9",IF(Template!$AA382="N9","N10","NA")))))))))))</f>
        <v>N4</v>
      </c>
      <c r="W382" s="17">
        <f>COUNTIF(Template!$M$3:$M$619,Template!$D382)</f>
        <v>0</v>
      </c>
      <c r="X382" s="17" t="str">
        <f>IF(Template!$F382="","",SUMIF(Template!$M$3:$M$619,Template!$D382,Template!$AC$3:$AC$619))</f>
        <v/>
      </c>
      <c r="Y382" s="17" t="str">
        <f>IFERROR(VLOOKUP(Template!$M382,Template!$D$3:$G$619,MATCH("EmployeeJobTitle",Template!$D$2:$G$2,0),FALSE),"NA")</f>
        <v>GERENTE DE LOJA</v>
      </c>
      <c r="Z382" s="17" t="str">
        <f>IFERROR(VLOOKUP(Template!$M382,Template!$D$3:$G$619,MATCH("EmployeeGroup",Template!$D$2:$G$2,0),FALSE),"NA")</f>
        <v>GERENTE</v>
      </c>
      <c r="AA382" s="17" t="str">
        <f>IFERROR(VLOOKUP(Template!$M382,Template!$D$3:$V$619,MATCH("Layer",Template!$D$2:$V$2,0),FALSE),"NA")</f>
        <v>N3</v>
      </c>
      <c r="AB382" s="21">
        <f>VLOOKUP(Template!$M382,Template!$D$3:$F$619,MATCH("InternalGrade",Template!$D$2:$F$2,0),FALSE)-Template!$F382</f>
        <v>0</v>
      </c>
      <c r="AC382" s="17">
        <f>IF(Template!$AB382&lt;=1, 0.8,IF(Template!$AB382=2,0.4,IF(Template!$AB382=3,0.2,IF(Template!$AB382=4,0.1,IF(Template!$AB382&gt;=5,0.05,"erro")))))</f>
        <v>0.8</v>
      </c>
      <c r="AD382" s="17" t="b">
        <f>Template!$D382=Template!$M382</f>
        <v>0</v>
      </c>
      <c r="AE382" s="12" t="s">
        <v>58</v>
      </c>
    </row>
    <row r="383" ht="15.75" customHeight="1">
      <c r="A383" s="7" t="s">
        <v>190</v>
      </c>
      <c r="B383" s="7" t="s">
        <v>160</v>
      </c>
      <c r="C383" s="7" t="s">
        <v>242</v>
      </c>
      <c r="D383" s="13">
        <v>24359.0</v>
      </c>
      <c r="E383" s="7" t="s">
        <v>199</v>
      </c>
      <c r="F383" s="13"/>
      <c r="G383" s="22" t="s">
        <v>200</v>
      </c>
      <c r="H383" s="7" t="s">
        <v>243</v>
      </c>
      <c r="I383" s="7" t="s">
        <v>244</v>
      </c>
      <c r="J383" s="7" t="s">
        <v>70</v>
      </c>
      <c r="K383" s="15">
        <v>45209.0</v>
      </c>
      <c r="L383" s="15">
        <v>29913.0</v>
      </c>
      <c r="M383" s="13">
        <v>12404.0</v>
      </c>
      <c r="N383" s="7">
        <v>4442.0</v>
      </c>
      <c r="O383" s="7"/>
      <c r="P383" s="7">
        <v>13.33</v>
      </c>
      <c r="Q383" s="7"/>
      <c r="R383" s="20"/>
      <c r="S383" s="7"/>
      <c r="T383" s="20"/>
      <c r="U383" s="16">
        <f>SUM(Template!$N383:$O383)*Template!$P383+Template!$Q383</f>
        <v>59211.86</v>
      </c>
      <c r="V383" s="17" t="str">
        <f>IF(Template!$M383="CONSELHO","N",IF(Template!$AA383="N","N1",IF(Template!$AA383="N1","N2",IF(Template!$AA383="N2","N3",IF(Template!$AA383="N3","N4",IF(Template!$AA383="N4","N5",IF(Template!$AA383="N5","N6",IF(Template!$AA383="N6","N7",IF(Template!$AA383="N7","N8",IF(Template!$AA383="N8","N9",IF(Template!$AA383="N9","N10","NA")))))))))))</f>
        <v>N3</v>
      </c>
      <c r="W383" s="17">
        <f>COUNTIF(Template!$M$3:$M$619,Template!$D383)</f>
        <v>8</v>
      </c>
      <c r="X383" s="17" t="str">
        <f>IF(Template!$F383="","",SUMIF(Template!$M$3:$M$619,Template!$D383,Template!$AC$3:$AC$619))</f>
        <v/>
      </c>
      <c r="Y383" s="17" t="str">
        <f>IFERROR(VLOOKUP(Template!$M383,Template!$D$3:$G$619,MATCH("EmployeeJobTitle",Template!$D$2:$G$2,0),FALSE),"NA")</f>
        <v>GERENTE COMERCIAL</v>
      </c>
      <c r="Z383" s="17" t="str">
        <f>IFERROR(VLOOKUP(Template!$M383,Template!$D$3:$G$619,MATCH("EmployeeGroup",Template!$D$2:$G$2,0),FALSE),"NA")</f>
        <v>Coordenador</v>
      </c>
      <c r="AA383" s="17" t="str">
        <f>IFERROR(VLOOKUP(Template!$M383,Template!$D$3:$V$619,MATCH("Layer",Template!$D$2:$V$2,0),FALSE),"NA")</f>
        <v>N2</v>
      </c>
      <c r="AB383" s="21">
        <f>VLOOKUP(Template!$M383,Template!$D$3:$F$619,MATCH("InternalGrade",Template!$D$2:$F$2,0),FALSE)-Template!$F383</f>
        <v>19</v>
      </c>
      <c r="AC383" s="17">
        <f>IF(Template!$AB383&lt;=1, 0.8,IF(Template!$AB383=2,0.4,IF(Template!$AB383=3,0.2,IF(Template!$AB383=4,0.1,IF(Template!$AB383&gt;=5,0.05,"erro")))))</f>
        <v>0.05</v>
      </c>
      <c r="AD383" s="17" t="b">
        <f>Template!$D383=Template!$M383</f>
        <v>0</v>
      </c>
      <c r="AE383" s="12" t="s">
        <v>58</v>
      </c>
    </row>
    <row r="384" ht="15.75" customHeight="1">
      <c r="A384" s="7" t="s">
        <v>190</v>
      </c>
      <c r="B384" s="7" t="s">
        <v>160</v>
      </c>
      <c r="C384" s="7" t="s">
        <v>242</v>
      </c>
      <c r="D384" s="13">
        <v>24794.0</v>
      </c>
      <c r="E384" s="7" t="s">
        <v>198</v>
      </c>
      <c r="F384" s="13"/>
      <c r="G384" s="14" t="s">
        <v>63</v>
      </c>
      <c r="H384" s="7" t="s">
        <v>243</v>
      </c>
      <c r="I384" s="7" t="s">
        <v>244</v>
      </c>
      <c r="J384" s="7" t="s">
        <v>70</v>
      </c>
      <c r="K384" s="15">
        <v>45299.0</v>
      </c>
      <c r="L384" s="15">
        <v>35245.0</v>
      </c>
      <c r="M384" s="13">
        <v>24359.0</v>
      </c>
      <c r="N384" s="7">
        <v>1484.6</v>
      </c>
      <c r="O384" s="7"/>
      <c r="P384" s="7">
        <v>13.33</v>
      </c>
      <c r="Q384" s="7"/>
      <c r="R384" s="20"/>
      <c r="S384" s="7"/>
      <c r="T384" s="20"/>
      <c r="U384" s="16">
        <f>SUM(Template!$N384:$O384)*Template!$P384+Template!$Q384</f>
        <v>19789.718</v>
      </c>
      <c r="V384" s="17" t="str">
        <f>IF(Template!$M384="CONSELHO","N",IF(Template!$AA384="N","N1",IF(Template!$AA384="N1","N2",IF(Template!$AA384="N2","N3",IF(Template!$AA384="N3","N4",IF(Template!$AA384="N4","N5",IF(Template!$AA384="N5","N6",IF(Template!$AA384="N6","N7",IF(Template!$AA384="N7","N8",IF(Template!$AA384="N8","N9",IF(Template!$AA384="N9","N10","NA")))))))))))</f>
        <v>N4</v>
      </c>
      <c r="W384" s="17">
        <f>COUNTIF(Template!$M$3:$M$619,Template!$D384)</f>
        <v>0</v>
      </c>
      <c r="X384" s="17" t="str">
        <f>IF(Template!$F384="","",SUMIF(Template!$M$3:$M$619,Template!$D384,Template!$AC$3:$AC$619))</f>
        <v/>
      </c>
      <c r="Y384" s="17" t="str">
        <f>IFERROR(VLOOKUP(Template!$M384,Template!$D$3:$G$619,MATCH("EmployeeJobTitle",Template!$D$2:$G$2,0),FALSE),"NA")</f>
        <v>GERENTE DE LOJA</v>
      </c>
      <c r="Z384" s="17" t="str">
        <f>IFERROR(VLOOKUP(Template!$M384,Template!$D$3:$G$619,MATCH("EmployeeGroup",Template!$D$2:$G$2,0),FALSE),"NA")</f>
        <v>GERENTE</v>
      </c>
      <c r="AA384" s="17" t="str">
        <f>IFERROR(VLOOKUP(Template!$M384,Template!$D$3:$V$619,MATCH("Layer",Template!$D$2:$V$2,0),FALSE),"NA")</f>
        <v>N3</v>
      </c>
      <c r="AB384" s="21">
        <f>VLOOKUP(Template!$M384,Template!$D$3:$F$619,MATCH("InternalGrade",Template!$D$2:$F$2,0),FALSE)-Template!$F384</f>
        <v>0</v>
      </c>
      <c r="AC384" s="17">
        <f>IF(Template!$AB384&lt;=1, 0.8,IF(Template!$AB384=2,0.4,IF(Template!$AB384=3,0.2,IF(Template!$AB384=4,0.1,IF(Template!$AB384&gt;=5,0.05,"erro")))))</f>
        <v>0.8</v>
      </c>
      <c r="AD384" s="17" t="b">
        <f>Template!$D384=Template!$M384</f>
        <v>0</v>
      </c>
      <c r="AE384" s="12" t="s">
        <v>58</v>
      </c>
    </row>
    <row r="385" ht="15.75" customHeight="1">
      <c r="A385" s="7" t="s">
        <v>190</v>
      </c>
      <c r="B385" s="7" t="s">
        <v>160</v>
      </c>
      <c r="C385" s="7" t="s">
        <v>242</v>
      </c>
      <c r="D385" s="13">
        <v>19795.0</v>
      </c>
      <c r="E385" s="7" t="s">
        <v>193</v>
      </c>
      <c r="F385" s="13"/>
      <c r="G385" s="14" t="s">
        <v>63</v>
      </c>
      <c r="H385" s="7" t="s">
        <v>243</v>
      </c>
      <c r="I385" s="7" t="s">
        <v>244</v>
      </c>
      <c r="J385" s="7" t="s">
        <v>70</v>
      </c>
      <c r="K385" s="15">
        <v>44445.0</v>
      </c>
      <c r="L385" s="15">
        <v>36762.0</v>
      </c>
      <c r="M385" s="13">
        <v>24359.0</v>
      </c>
      <c r="N385" s="7"/>
      <c r="O385" s="7"/>
      <c r="P385" s="7">
        <v>13.33</v>
      </c>
      <c r="Q385" s="7"/>
      <c r="R385" s="20"/>
      <c r="S385" s="7"/>
      <c r="T385" s="20"/>
      <c r="U385" s="16">
        <f>SUM(Template!$N385:$O385)*Template!$P385+Template!$Q385</f>
        <v>0</v>
      </c>
      <c r="V385" s="17" t="str">
        <f>IF(Template!$M385="CONSELHO","N",IF(Template!$AA385="N","N1",IF(Template!$AA385="N1","N2",IF(Template!$AA385="N2","N3",IF(Template!$AA385="N3","N4",IF(Template!$AA385="N4","N5",IF(Template!$AA385="N5","N6",IF(Template!$AA385="N6","N7",IF(Template!$AA385="N7","N8",IF(Template!$AA385="N8","N9",IF(Template!$AA385="N9","N10","NA")))))))))))</f>
        <v>N4</v>
      </c>
      <c r="W385" s="17">
        <f>COUNTIF(Template!$M$3:$M$619,Template!$D385)</f>
        <v>0</v>
      </c>
      <c r="X385" s="17" t="str">
        <f>IF(Template!$F385="","",SUMIF(Template!$M$3:$M$619,Template!$D385,Template!$AC$3:$AC$619))</f>
        <v/>
      </c>
      <c r="Y385" s="17" t="str">
        <f>IFERROR(VLOOKUP(Template!$M385,Template!$D$3:$G$619,MATCH("EmployeeJobTitle",Template!$D$2:$G$2,0),FALSE),"NA")</f>
        <v>GERENTE DE LOJA</v>
      </c>
      <c r="Z385" s="17" t="str">
        <f>IFERROR(VLOOKUP(Template!$M385,Template!$D$3:$G$619,MATCH("EmployeeGroup",Template!$D$2:$G$2,0),FALSE),"NA")</f>
        <v>GERENTE</v>
      </c>
      <c r="AA385" s="17" t="str">
        <f>IFERROR(VLOOKUP(Template!$M385,Template!$D$3:$V$619,MATCH("Layer",Template!$D$2:$V$2,0),FALSE),"NA")</f>
        <v>N3</v>
      </c>
      <c r="AB385" s="21">
        <f>VLOOKUP(Template!$M385,Template!$D$3:$F$619,MATCH("InternalGrade",Template!$D$2:$F$2,0),FALSE)-Template!$F385</f>
        <v>0</v>
      </c>
      <c r="AC385" s="17">
        <f>IF(Template!$AB385&lt;=1, 0.8,IF(Template!$AB385=2,0.4,IF(Template!$AB385=3,0.2,IF(Template!$AB385=4,0.1,IF(Template!$AB385&gt;=5,0.05,"erro")))))</f>
        <v>0.8</v>
      </c>
      <c r="AD385" s="17" t="b">
        <f>Template!$D385=Template!$M385</f>
        <v>0</v>
      </c>
      <c r="AE385" s="12" t="s">
        <v>58</v>
      </c>
    </row>
    <row r="386" ht="15.75" customHeight="1">
      <c r="A386" s="7" t="s">
        <v>190</v>
      </c>
      <c r="B386" s="7" t="s">
        <v>160</v>
      </c>
      <c r="C386" s="7" t="s">
        <v>242</v>
      </c>
      <c r="D386" s="13">
        <v>25387.0</v>
      </c>
      <c r="E386" s="7" t="s">
        <v>201</v>
      </c>
      <c r="F386" s="13"/>
      <c r="G386" s="14" t="s">
        <v>63</v>
      </c>
      <c r="H386" s="7" t="s">
        <v>243</v>
      </c>
      <c r="I386" s="7" t="s">
        <v>244</v>
      </c>
      <c r="J386" s="7" t="s">
        <v>70</v>
      </c>
      <c r="K386" s="15">
        <v>45551.0</v>
      </c>
      <c r="L386" s="15">
        <v>37665.0</v>
      </c>
      <c r="M386" s="13">
        <v>24359.0</v>
      </c>
      <c r="N386" s="7">
        <v>995.08</v>
      </c>
      <c r="O386" s="7"/>
      <c r="P386" s="7">
        <v>13.33</v>
      </c>
      <c r="Q386" s="7"/>
      <c r="R386" s="20"/>
      <c r="S386" s="7"/>
      <c r="T386" s="20"/>
      <c r="U386" s="16">
        <f>SUM(Template!$N386:$O386)*Template!$P386+Template!$Q386</f>
        <v>13264.4164</v>
      </c>
      <c r="V386" s="17" t="str">
        <f>IF(Template!$M386="CONSELHO","N",IF(Template!$AA386="N","N1",IF(Template!$AA386="N1","N2",IF(Template!$AA386="N2","N3",IF(Template!$AA386="N3","N4",IF(Template!$AA386="N4","N5",IF(Template!$AA386="N5","N6",IF(Template!$AA386="N6","N7",IF(Template!$AA386="N7","N8",IF(Template!$AA386="N8","N9",IF(Template!$AA386="N9","N10","NA")))))))))))</f>
        <v>N4</v>
      </c>
      <c r="W386" s="17">
        <f>COUNTIF(Template!$M$3:$M$619,Template!$D386)</f>
        <v>0</v>
      </c>
      <c r="X386" s="17" t="str">
        <f>IF(Template!$F386="","",SUMIF(Template!$M$3:$M$619,Template!$D386,Template!$AC$3:$AC$619))</f>
        <v/>
      </c>
      <c r="Y386" s="17" t="str">
        <f>IFERROR(VLOOKUP(Template!$M386,Template!$D$3:$G$619,MATCH("EmployeeJobTitle",Template!$D$2:$G$2,0),FALSE),"NA")</f>
        <v>GERENTE DE LOJA</v>
      </c>
      <c r="Z386" s="17" t="str">
        <f>IFERROR(VLOOKUP(Template!$M386,Template!$D$3:$G$619,MATCH("EmployeeGroup",Template!$D$2:$G$2,0),FALSE),"NA")</f>
        <v>GERENTE</v>
      </c>
      <c r="AA386" s="17" t="str">
        <f>IFERROR(VLOOKUP(Template!$M386,Template!$D$3:$V$619,MATCH("Layer",Template!$D$2:$V$2,0),FALSE),"NA")</f>
        <v>N3</v>
      </c>
      <c r="AB386" s="21">
        <f>VLOOKUP(Template!$M386,Template!$D$3:$F$619,MATCH("InternalGrade",Template!$D$2:$F$2,0),FALSE)-Template!$F386</f>
        <v>0</v>
      </c>
      <c r="AC386" s="17">
        <f>IF(Template!$AB386&lt;=1, 0.8,IF(Template!$AB386=2,0.4,IF(Template!$AB386=3,0.2,IF(Template!$AB386=4,0.1,IF(Template!$AB386&gt;=5,0.05,"erro")))))</f>
        <v>0.8</v>
      </c>
      <c r="AD386" s="17" t="b">
        <f>Template!$D386=Template!$M386</f>
        <v>0</v>
      </c>
      <c r="AE386" s="12" t="s">
        <v>58</v>
      </c>
    </row>
    <row r="387" ht="15.75" customHeight="1">
      <c r="A387" s="7" t="s">
        <v>190</v>
      </c>
      <c r="B387" s="7" t="s">
        <v>160</v>
      </c>
      <c r="C387" s="7" t="s">
        <v>245</v>
      </c>
      <c r="D387" s="13">
        <v>25304.0</v>
      </c>
      <c r="E387" s="7" t="s">
        <v>193</v>
      </c>
      <c r="F387" s="13"/>
      <c r="G387" s="14" t="s">
        <v>63</v>
      </c>
      <c r="H387" s="7" t="s">
        <v>224</v>
      </c>
      <c r="I387" s="7" t="s">
        <v>225</v>
      </c>
      <c r="J387" s="7" t="s">
        <v>70</v>
      </c>
      <c r="K387" s="15">
        <v>45516.0</v>
      </c>
      <c r="L387" s="15">
        <v>28909.0</v>
      </c>
      <c r="M387" s="13">
        <v>17855.0</v>
      </c>
      <c r="N387" s="7"/>
      <c r="O387" s="7"/>
      <c r="P387" s="7">
        <v>13.33</v>
      </c>
      <c r="Q387" s="7"/>
      <c r="R387" s="20"/>
      <c r="S387" s="7"/>
      <c r="T387" s="20"/>
      <c r="U387" s="16">
        <f>SUM(Template!$N387:$O387)*Template!$P387+Template!$Q387</f>
        <v>0</v>
      </c>
      <c r="V387" s="17" t="str">
        <f>IF(Template!$M387="CONSELHO","N",IF(Template!$AA387="N","N1",IF(Template!$AA387="N1","N2",IF(Template!$AA387="N2","N3",IF(Template!$AA387="N3","N4",IF(Template!$AA387="N4","N5",IF(Template!$AA387="N5","N6",IF(Template!$AA387="N6","N7",IF(Template!$AA387="N7","N8",IF(Template!$AA387="N8","N9",IF(Template!$AA387="N9","N10","NA")))))))))))</f>
        <v>N4</v>
      </c>
      <c r="W387" s="17">
        <f>COUNTIF(Template!$M$3:$M$619,Template!$D387)</f>
        <v>0</v>
      </c>
      <c r="X387" s="17" t="str">
        <f>IF(Template!$F387="","",SUMIF(Template!$M$3:$M$619,Template!$D387,Template!$AC$3:$AC$619))</f>
        <v/>
      </c>
      <c r="Y387" s="17" t="str">
        <f>IFERROR(VLOOKUP(Template!$M387,Template!$D$3:$G$619,MATCH("EmployeeJobTitle",Template!$D$2:$G$2,0),FALSE),"NA")</f>
        <v>GERENTE DE LOJA</v>
      </c>
      <c r="Z387" s="17" t="str">
        <f>IFERROR(VLOOKUP(Template!$M387,Template!$D$3:$G$619,MATCH("EmployeeGroup",Template!$D$2:$G$2,0),FALSE),"NA")</f>
        <v>GERENTE</v>
      </c>
      <c r="AA387" s="17" t="str">
        <f>IFERROR(VLOOKUP(Template!$M387,Template!$D$3:$V$619,MATCH("Layer",Template!$D$2:$V$2,0),FALSE),"NA")</f>
        <v>N3</v>
      </c>
      <c r="AB387" s="21">
        <f>VLOOKUP(Template!$M387,Template!$D$3:$F$619,MATCH("InternalGrade",Template!$D$2:$F$2,0),FALSE)-Template!$F387</f>
        <v>0</v>
      </c>
      <c r="AC387" s="17">
        <f>IF(Template!$AB387&lt;=1, 0.8,IF(Template!$AB387=2,0.4,IF(Template!$AB387=3,0.2,IF(Template!$AB387=4,0.1,IF(Template!$AB387&gt;=5,0.05,"erro")))))</f>
        <v>0.8</v>
      </c>
      <c r="AD387" s="17" t="b">
        <f>Template!$D387=Template!$M387</f>
        <v>0</v>
      </c>
      <c r="AE387" s="12" t="s">
        <v>58</v>
      </c>
    </row>
    <row r="388" ht="15.75" customHeight="1">
      <c r="A388" s="7" t="s">
        <v>190</v>
      </c>
      <c r="B388" s="7" t="s">
        <v>160</v>
      </c>
      <c r="C388" s="7" t="s">
        <v>245</v>
      </c>
      <c r="D388" s="13">
        <v>25006.0</v>
      </c>
      <c r="E388" s="7" t="s">
        <v>193</v>
      </c>
      <c r="F388" s="13"/>
      <c r="G388" s="14" t="s">
        <v>63</v>
      </c>
      <c r="H388" s="7" t="s">
        <v>224</v>
      </c>
      <c r="I388" s="7" t="s">
        <v>225</v>
      </c>
      <c r="J388" s="7" t="s">
        <v>70</v>
      </c>
      <c r="K388" s="15">
        <v>45397.0</v>
      </c>
      <c r="L388" s="15">
        <v>33594.0</v>
      </c>
      <c r="M388" s="13">
        <v>17855.0</v>
      </c>
      <c r="N388" s="7"/>
      <c r="O388" s="7"/>
      <c r="P388" s="7">
        <v>13.33</v>
      </c>
      <c r="Q388" s="7"/>
      <c r="R388" s="20"/>
      <c r="S388" s="7"/>
      <c r="T388" s="20"/>
      <c r="U388" s="16">
        <f>SUM(Template!$N388:$O388)*Template!$P388+Template!$Q388</f>
        <v>0</v>
      </c>
      <c r="V388" s="17" t="str">
        <f>IF(Template!$M388="CONSELHO","N",IF(Template!$AA388="N","N1",IF(Template!$AA388="N1","N2",IF(Template!$AA388="N2","N3",IF(Template!$AA388="N3","N4",IF(Template!$AA388="N4","N5",IF(Template!$AA388="N5","N6",IF(Template!$AA388="N6","N7",IF(Template!$AA388="N7","N8",IF(Template!$AA388="N8","N9",IF(Template!$AA388="N9","N10","NA")))))))))))</f>
        <v>N4</v>
      </c>
      <c r="W388" s="17">
        <f>COUNTIF(Template!$M$3:$M$619,Template!$D388)</f>
        <v>0</v>
      </c>
      <c r="X388" s="17" t="str">
        <f>IF(Template!$F388="","",SUMIF(Template!$M$3:$M$619,Template!$D388,Template!$AC$3:$AC$619))</f>
        <v/>
      </c>
      <c r="Y388" s="17" t="str">
        <f>IFERROR(VLOOKUP(Template!$M388,Template!$D$3:$G$619,MATCH("EmployeeJobTitle",Template!$D$2:$G$2,0),FALSE),"NA")</f>
        <v>GERENTE DE LOJA</v>
      </c>
      <c r="Z388" s="17" t="str">
        <f>IFERROR(VLOOKUP(Template!$M388,Template!$D$3:$G$619,MATCH("EmployeeGroup",Template!$D$2:$G$2,0),FALSE),"NA")</f>
        <v>GERENTE</v>
      </c>
      <c r="AA388" s="17" t="str">
        <f>IFERROR(VLOOKUP(Template!$M388,Template!$D$3:$V$619,MATCH("Layer",Template!$D$2:$V$2,0),FALSE),"NA")</f>
        <v>N3</v>
      </c>
      <c r="AB388" s="21">
        <f>VLOOKUP(Template!$M388,Template!$D$3:$F$619,MATCH("InternalGrade",Template!$D$2:$F$2,0),FALSE)-Template!$F388</f>
        <v>0</v>
      </c>
      <c r="AC388" s="17">
        <f>IF(Template!$AB388&lt;=1, 0.8,IF(Template!$AB388=2,0.4,IF(Template!$AB388=3,0.2,IF(Template!$AB388=4,0.1,IF(Template!$AB388&gt;=5,0.05,"erro")))))</f>
        <v>0.8</v>
      </c>
      <c r="AD388" s="17" t="b">
        <f>Template!$D388=Template!$M388</f>
        <v>0</v>
      </c>
      <c r="AE388" s="12" t="s">
        <v>58</v>
      </c>
    </row>
    <row r="389" ht="15.75" customHeight="1">
      <c r="A389" s="7" t="s">
        <v>190</v>
      </c>
      <c r="B389" s="7" t="s">
        <v>160</v>
      </c>
      <c r="C389" s="7" t="s">
        <v>245</v>
      </c>
      <c r="D389" s="13">
        <v>17924.0</v>
      </c>
      <c r="E389" s="7" t="s">
        <v>203</v>
      </c>
      <c r="F389" s="13"/>
      <c r="G389" s="14" t="s">
        <v>63</v>
      </c>
      <c r="H389" s="7" t="s">
        <v>224</v>
      </c>
      <c r="I389" s="7" t="s">
        <v>225</v>
      </c>
      <c r="J389" s="7" t="s">
        <v>70</v>
      </c>
      <c r="K389" s="15">
        <v>43745.0</v>
      </c>
      <c r="L389" s="15">
        <v>31636.0</v>
      </c>
      <c r="M389" s="13">
        <v>17855.0</v>
      </c>
      <c r="N389" s="7"/>
      <c r="O389" s="7"/>
      <c r="P389" s="7">
        <v>13.33</v>
      </c>
      <c r="Q389" s="7"/>
      <c r="R389" s="20"/>
      <c r="S389" s="7"/>
      <c r="T389" s="20"/>
      <c r="U389" s="16">
        <f>SUM(Template!$N389:$O389)*Template!$P389+Template!$Q389</f>
        <v>0</v>
      </c>
      <c r="V389" s="17" t="str">
        <f>IF(Template!$M389="CONSELHO","N",IF(Template!$AA389="N","N1",IF(Template!$AA389="N1","N2",IF(Template!$AA389="N2","N3",IF(Template!$AA389="N3","N4",IF(Template!$AA389="N4","N5",IF(Template!$AA389="N5","N6",IF(Template!$AA389="N6","N7",IF(Template!$AA389="N7","N8",IF(Template!$AA389="N8","N9",IF(Template!$AA389="N9","N10","NA")))))))))))</f>
        <v>N4</v>
      </c>
      <c r="W389" s="17">
        <f>COUNTIF(Template!$M$3:$M$619,Template!$D389)</f>
        <v>0</v>
      </c>
      <c r="X389" s="17" t="str">
        <f>IF(Template!$F389="","",SUMIF(Template!$M$3:$M$619,Template!$D389,Template!$AC$3:$AC$619))</f>
        <v/>
      </c>
      <c r="Y389" s="17" t="str">
        <f>IFERROR(VLOOKUP(Template!$M389,Template!$D$3:$G$619,MATCH("EmployeeJobTitle",Template!$D$2:$G$2,0),FALSE),"NA")</f>
        <v>GERENTE DE LOJA</v>
      </c>
      <c r="Z389" s="17" t="str">
        <f>IFERROR(VLOOKUP(Template!$M389,Template!$D$3:$G$619,MATCH("EmployeeGroup",Template!$D$2:$G$2,0),FALSE),"NA")</f>
        <v>GERENTE</v>
      </c>
      <c r="AA389" s="17" t="str">
        <f>IFERROR(VLOOKUP(Template!$M389,Template!$D$3:$V$619,MATCH("Layer",Template!$D$2:$V$2,0),FALSE),"NA")</f>
        <v>N3</v>
      </c>
      <c r="AB389" s="21">
        <f>VLOOKUP(Template!$M389,Template!$D$3:$F$619,MATCH("InternalGrade",Template!$D$2:$F$2,0),FALSE)-Template!$F389</f>
        <v>0</v>
      </c>
      <c r="AC389" s="17">
        <f>IF(Template!$AB389&lt;=1, 0.8,IF(Template!$AB389=2,0.4,IF(Template!$AB389=3,0.2,IF(Template!$AB389=4,0.1,IF(Template!$AB389&gt;=5,0.05,"erro")))))</f>
        <v>0.8</v>
      </c>
      <c r="AD389" s="17" t="b">
        <f>Template!$D389=Template!$M389</f>
        <v>0</v>
      </c>
      <c r="AE389" s="12" t="s">
        <v>58</v>
      </c>
    </row>
    <row r="390" ht="15.75" customHeight="1">
      <c r="A390" s="7" t="s">
        <v>190</v>
      </c>
      <c r="B390" s="7" t="s">
        <v>160</v>
      </c>
      <c r="C390" s="7" t="s">
        <v>245</v>
      </c>
      <c r="D390" s="13">
        <v>25321.0</v>
      </c>
      <c r="E390" s="7" t="s">
        <v>196</v>
      </c>
      <c r="F390" s="13"/>
      <c r="G390" s="14" t="s">
        <v>63</v>
      </c>
      <c r="H390" s="7" t="s">
        <v>224</v>
      </c>
      <c r="I390" s="7" t="s">
        <v>225</v>
      </c>
      <c r="J390" s="7" t="s">
        <v>70</v>
      </c>
      <c r="K390" s="15">
        <v>45523.0</v>
      </c>
      <c r="L390" s="15">
        <v>38560.0</v>
      </c>
      <c r="M390" s="13">
        <v>17855.0</v>
      </c>
      <c r="N390" s="7">
        <v>1578.25</v>
      </c>
      <c r="O390" s="7"/>
      <c r="P390" s="7">
        <v>13.33</v>
      </c>
      <c r="Q390" s="7"/>
      <c r="R390" s="20"/>
      <c r="S390" s="7"/>
      <c r="T390" s="20"/>
      <c r="U390" s="16">
        <f>SUM(Template!$N390:$O390)*Template!$P390+Template!$Q390</f>
        <v>21038.0725</v>
      </c>
      <c r="V390" s="17" t="str">
        <f>IF(Template!$M390="CONSELHO","N",IF(Template!$AA390="N","N1",IF(Template!$AA390="N1","N2",IF(Template!$AA390="N2","N3",IF(Template!$AA390="N3","N4",IF(Template!$AA390="N4","N5",IF(Template!$AA390="N5","N6",IF(Template!$AA390="N6","N7",IF(Template!$AA390="N7","N8",IF(Template!$AA390="N8","N9",IF(Template!$AA390="N9","N10","NA")))))))))))</f>
        <v>N4</v>
      </c>
      <c r="W390" s="17">
        <f>COUNTIF(Template!$M$3:$M$619,Template!$D390)</f>
        <v>0</v>
      </c>
      <c r="X390" s="17" t="str">
        <f>IF(Template!$F390="","",SUMIF(Template!$M$3:$M$619,Template!$D390,Template!$AC$3:$AC$619))</f>
        <v/>
      </c>
      <c r="Y390" s="17" t="str">
        <f>IFERROR(VLOOKUP(Template!$M390,Template!$D$3:$G$619,MATCH("EmployeeJobTitle",Template!$D$2:$G$2,0),FALSE),"NA")</f>
        <v>GERENTE DE LOJA</v>
      </c>
      <c r="Z390" s="17" t="str">
        <f>IFERROR(VLOOKUP(Template!$M390,Template!$D$3:$G$619,MATCH("EmployeeGroup",Template!$D$2:$G$2,0),FALSE),"NA")</f>
        <v>GERENTE</v>
      </c>
      <c r="AA390" s="17" t="str">
        <f>IFERROR(VLOOKUP(Template!$M390,Template!$D$3:$V$619,MATCH("Layer",Template!$D$2:$V$2,0),FALSE),"NA")</f>
        <v>N3</v>
      </c>
      <c r="AB390" s="21">
        <f>VLOOKUP(Template!$M390,Template!$D$3:$F$619,MATCH("InternalGrade",Template!$D$2:$F$2,0),FALSE)-Template!$F390</f>
        <v>0</v>
      </c>
      <c r="AC390" s="17">
        <f>IF(Template!$AB390&lt;=1, 0.8,IF(Template!$AB390=2,0.4,IF(Template!$AB390=3,0.2,IF(Template!$AB390=4,0.1,IF(Template!$AB390&gt;=5,0.05,"erro")))))</f>
        <v>0.8</v>
      </c>
      <c r="AD390" s="17" t="b">
        <f>Template!$D390=Template!$M390</f>
        <v>0</v>
      </c>
      <c r="AE390" s="12" t="s">
        <v>58</v>
      </c>
    </row>
    <row r="391" ht="15.75" customHeight="1">
      <c r="A391" s="7" t="s">
        <v>190</v>
      </c>
      <c r="B391" s="7" t="s">
        <v>160</v>
      </c>
      <c r="C391" s="7" t="s">
        <v>245</v>
      </c>
      <c r="D391" s="13">
        <v>20351.0</v>
      </c>
      <c r="E391" s="7" t="s">
        <v>193</v>
      </c>
      <c r="F391" s="13"/>
      <c r="G391" s="14" t="s">
        <v>63</v>
      </c>
      <c r="H391" s="7" t="s">
        <v>224</v>
      </c>
      <c r="I391" s="7" t="s">
        <v>225</v>
      </c>
      <c r="J391" s="7" t="s">
        <v>70</v>
      </c>
      <c r="K391" s="15">
        <v>44593.0</v>
      </c>
      <c r="L391" s="15">
        <v>26870.0</v>
      </c>
      <c r="M391" s="13">
        <v>17855.0</v>
      </c>
      <c r="N391" s="7"/>
      <c r="O391" s="7"/>
      <c r="P391" s="7">
        <v>13.33</v>
      </c>
      <c r="Q391" s="7"/>
      <c r="R391" s="20"/>
      <c r="S391" s="7"/>
      <c r="T391" s="20"/>
      <c r="U391" s="16">
        <f>SUM(Template!$N391:$O391)*Template!$P391+Template!$Q391</f>
        <v>0</v>
      </c>
      <c r="V391" s="17" t="str">
        <f>IF(Template!$M391="CONSELHO","N",IF(Template!$AA391="N","N1",IF(Template!$AA391="N1","N2",IF(Template!$AA391="N2","N3",IF(Template!$AA391="N3","N4",IF(Template!$AA391="N4","N5",IF(Template!$AA391="N5","N6",IF(Template!$AA391="N6","N7",IF(Template!$AA391="N7","N8",IF(Template!$AA391="N8","N9",IF(Template!$AA391="N9","N10","NA")))))))))))</f>
        <v>N4</v>
      </c>
      <c r="W391" s="17">
        <f>COUNTIF(Template!$M$3:$M$619,Template!$D391)</f>
        <v>0</v>
      </c>
      <c r="X391" s="17" t="str">
        <f>IF(Template!$F391="","",SUMIF(Template!$M$3:$M$619,Template!$D391,Template!$AC$3:$AC$619))</f>
        <v/>
      </c>
      <c r="Y391" s="17" t="str">
        <f>IFERROR(VLOOKUP(Template!$M391,Template!$D$3:$G$619,MATCH("EmployeeJobTitle",Template!$D$2:$G$2,0),FALSE),"NA")</f>
        <v>GERENTE DE LOJA</v>
      </c>
      <c r="Z391" s="17" t="str">
        <f>IFERROR(VLOOKUP(Template!$M391,Template!$D$3:$G$619,MATCH("EmployeeGroup",Template!$D$2:$G$2,0),FALSE),"NA")</f>
        <v>GERENTE</v>
      </c>
      <c r="AA391" s="17" t="str">
        <f>IFERROR(VLOOKUP(Template!$M391,Template!$D$3:$V$619,MATCH("Layer",Template!$D$2:$V$2,0),FALSE),"NA")</f>
        <v>N3</v>
      </c>
      <c r="AB391" s="21">
        <f>VLOOKUP(Template!$M391,Template!$D$3:$F$619,MATCH("InternalGrade",Template!$D$2:$F$2,0),FALSE)-Template!$F391</f>
        <v>0</v>
      </c>
      <c r="AC391" s="17">
        <f>IF(Template!$AB391&lt;=1, 0.8,IF(Template!$AB391=2,0.4,IF(Template!$AB391=3,0.2,IF(Template!$AB391=4,0.1,IF(Template!$AB391&gt;=5,0.05,"erro")))))</f>
        <v>0.8</v>
      </c>
      <c r="AD391" s="17" t="b">
        <f>Template!$D391=Template!$M391</f>
        <v>0</v>
      </c>
      <c r="AE391" s="12" t="s">
        <v>58</v>
      </c>
    </row>
    <row r="392" ht="15.75" customHeight="1">
      <c r="A392" s="7" t="s">
        <v>190</v>
      </c>
      <c r="B392" s="7" t="s">
        <v>160</v>
      </c>
      <c r="C392" s="7" t="s">
        <v>245</v>
      </c>
      <c r="D392" s="13">
        <v>25394.0</v>
      </c>
      <c r="E392" s="7" t="s">
        <v>193</v>
      </c>
      <c r="F392" s="13"/>
      <c r="G392" s="14" t="s">
        <v>63</v>
      </c>
      <c r="H392" s="7" t="s">
        <v>224</v>
      </c>
      <c r="I392" s="7" t="s">
        <v>225</v>
      </c>
      <c r="J392" s="7" t="s">
        <v>70</v>
      </c>
      <c r="K392" s="15">
        <v>45554.0</v>
      </c>
      <c r="L392" s="15">
        <v>29809.0</v>
      </c>
      <c r="M392" s="13">
        <v>17855.0</v>
      </c>
      <c r="N392" s="7"/>
      <c r="O392" s="7"/>
      <c r="P392" s="7">
        <v>13.33</v>
      </c>
      <c r="Q392" s="7"/>
      <c r="R392" s="20"/>
      <c r="S392" s="7"/>
      <c r="T392" s="20"/>
      <c r="U392" s="16">
        <f>SUM(Template!$N392:$O392)*Template!$P392+Template!$Q392</f>
        <v>0</v>
      </c>
      <c r="V392" s="17" t="str">
        <f>IF(Template!$M392="CONSELHO","N",IF(Template!$AA392="N","N1",IF(Template!$AA392="N1","N2",IF(Template!$AA392="N2","N3",IF(Template!$AA392="N3","N4",IF(Template!$AA392="N4","N5",IF(Template!$AA392="N5","N6",IF(Template!$AA392="N6","N7",IF(Template!$AA392="N7","N8",IF(Template!$AA392="N8","N9",IF(Template!$AA392="N9","N10","NA")))))))))))</f>
        <v>N4</v>
      </c>
      <c r="W392" s="17">
        <f>COUNTIF(Template!$M$3:$M$619,Template!$D392)</f>
        <v>0</v>
      </c>
      <c r="X392" s="17" t="str">
        <f>IF(Template!$F392="","",SUMIF(Template!$M$3:$M$619,Template!$D392,Template!$AC$3:$AC$619))</f>
        <v/>
      </c>
      <c r="Y392" s="17" t="str">
        <f>IFERROR(VLOOKUP(Template!$M392,Template!$D$3:$G$619,MATCH("EmployeeJobTitle",Template!$D$2:$G$2,0),FALSE),"NA")</f>
        <v>GERENTE DE LOJA</v>
      </c>
      <c r="Z392" s="17" t="str">
        <f>IFERROR(VLOOKUP(Template!$M392,Template!$D$3:$G$619,MATCH("EmployeeGroup",Template!$D$2:$G$2,0),FALSE),"NA")</f>
        <v>GERENTE</v>
      </c>
      <c r="AA392" s="17" t="str">
        <f>IFERROR(VLOOKUP(Template!$M392,Template!$D$3:$V$619,MATCH("Layer",Template!$D$2:$V$2,0),FALSE),"NA")</f>
        <v>N3</v>
      </c>
      <c r="AB392" s="21">
        <f>VLOOKUP(Template!$M392,Template!$D$3:$F$619,MATCH("InternalGrade",Template!$D$2:$F$2,0),FALSE)-Template!$F392</f>
        <v>0</v>
      </c>
      <c r="AC392" s="17">
        <f>IF(Template!$AB392&lt;=1, 0.8,IF(Template!$AB392=2,0.4,IF(Template!$AB392=3,0.2,IF(Template!$AB392=4,0.1,IF(Template!$AB392&gt;=5,0.05,"erro")))))</f>
        <v>0.8</v>
      </c>
      <c r="AD392" s="17" t="b">
        <f>Template!$D392=Template!$M392</f>
        <v>0</v>
      </c>
      <c r="AE392" s="12" t="s">
        <v>58</v>
      </c>
    </row>
    <row r="393" ht="15.75" customHeight="1">
      <c r="A393" s="7" t="s">
        <v>190</v>
      </c>
      <c r="B393" s="7" t="s">
        <v>160</v>
      </c>
      <c r="C393" s="7" t="s">
        <v>245</v>
      </c>
      <c r="D393" s="13">
        <v>24811.0</v>
      </c>
      <c r="E393" s="7" t="s">
        <v>193</v>
      </c>
      <c r="F393" s="13"/>
      <c r="G393" s="14" t="s">
        <v>63</v>
      </c>
      <c r="H393" s="7" t="s">
        <v>224</v>
      </c>
      <c r="I393" s="7" t="s">
        <v>225</v>
      </c>
      <c r="J393" s="7" t="s">
        <v>70</v>
      </c>
      <c r="K393" s="15">
        <v>45313.0</v>
      </c>
      <c r="L393" s="15">
        <v>29802.0</v>
      </c>
      <c r="M393" s="13">
        <v>17855.0</v>
      </c>
      <c r="N393" s="7"/>
      <c r="O393" s="7"/>
      <c r="P393" s="7">
        <v>13.33</v>
      </c>
      <c r="Q393" s="7"/>
      <c r="R393" s="20"/>
      <c r="S393" s="7"/>
      <c r="T393" s="20"/>
      <c r="U393" s="16">
        <f>SUM(Template!$N393:$O393)*Template!$P393+Template!$Q393</f>
        <v>0</v>
      </c>
      <c r="V393" s="17" t="str">
        <f>IF(Template!$M393="CONSELHO","N",IF(Template!$AA393="N","N1",IF(Template!$AA393="N1","N2",IF(Template!$AA393="N2","N3",IF(Template!$AA393="N3","N4",IF(Template!$AA393="N4","N5",IF(Template!$AA393="N5","N6",IF(Template!$AA393="N6","N7",IF(Template!$AA393="N7","N8",IF(Template!$AA393="N8","N9",IF(Template!$AA393="N9","N10","NA")))))))))))</f>
        <v>N4</v>
      </c>
      <c r="W393" s="17">
        <f>COUNTIF(Template!$M$3:$M$619,Template!$D393)</f>
        <v>0</v>
      </c>
      <c r="X393" s="17" t="str">
        <f>IF(Template!$F393="","",SUMIF(Template!$M$3:$M$619,Template!$D393,Template!$AC$3:$AC$619))</f>
        <v/>
      </c>
      <c r="Y393" s="17" t="str">
        <f>IFERROR(VLOOKUP(Template!$M393,Template!$D$3:$G$619,MATCH("EmployeeJobTitle",Template!$D$2:$G$2,0),FALSE),"NA")</f>
        <v>GERENTE DE LOJA</v>
      </c>
      <c r="Z393" s="17" t="str">
        <f>IFERROR(VLOOKUP(Template!$M393,Template!$D$3:$G$619,MATCH("EmployeeGroup",Template!$D$2:$G$2,0),FALSE),"NA")</f>
        <v>GERENTE</v>
      </c>
      <c r="AA393" s="17" t="str">
        <f>IFERROR(VLOOKUP(Template!$M393,Template!$D$3:$V$619,MATCH("Layer",Template!$D$2:$V$2,0),FALSE),"NA")</f>
        <v>N3</v>
      </c>
      <c r="AB393" s="21">
        <f>VLOOKUP(Template!$M393,Template!$D$3:$F$619,MATCH("InternalGrade",Template!$D$2:$F$2,0),FALSE)-Template!$F393</f>
        <v>0</v>
      </c>
      <c r="AC393" s="17">
        <f>IF(Template!$AB393&lt;=1, 0.8,IF(Template!$AB393=2,0.4,IF(Template!$AB393=3,0.2,IF(Template!$AB393=4,0.1,IF(Template!$AB393&gt;=5,0.05,"erro")))))</f>
        <v>0.8</v>
      </c>
      <c r="AD393" s="17" t="b">
        <f>Template!$D393=Template!$M393</f>
        <v>0</v>
      </c>
      <c r="AE393" s="12" t="s">
        <v>58</v>
      </c>
    </row>
    <row r="394" ht="15.75" customHeight="1">
      <c r="A394" s="7" t="s">
        <v>190</v>
      </c>
      <c r="B394" s="7" t="s">
        <v>160</v>
      </c>
      <c r="C394" s="7" t="s">
        <v>245</v>
      </c>
      <c r="D394" s="13">
        <v>20449.0</v>
      </c>
      <c r="E394" s="7" t="s">
        <v>203</v>
      </c>
      <c r="F394" s="13"/>
      <c r="G394" s="14" t="s">
        <v>63</v>
      </c>
      <c r="H394" s="7" t="s">
        <v>224</v>
      </c>
      <c r="I394" s="7" t="s">
        <v>225</v>
      </c>
      <c r="J394" s="7" t="s">
        <v>70</v>
      </c>
      <c r="K394" s="15">
        <v>44655.0</v>
      </c>
      <c r="L394" s="15">
        <v>28238.0</v>
      </c>
      <c r="M394" s="13">
        <v>17855.0</v>
      </c>
      <c r="N394" s="7"/>
      <c r="O394" s="7"/>
      <c r="P394" s="7">
        <v>13.33</v>
      </c>
      <c r="Q394" s="7"/>
      <c r="R394" s="20"/>
      <c r="S394" s="7"/>
      <c r="T394" s="20"/>
      <c r="U394" s="16">
        <f>SUM(Template!$N394:$O394)*Template!$P394+Template!$Q394</f>
        <v>0</v>
      </c>
      <c r="V394" s="17" t="str">
        <f>IF(Template!$M394="CONSELHO","N",IF(Template!$AA394="N","N1",IF(Template!$AA394="N1","N2",IF(Template!$AA394="N2","N3",IF(Template!$AA394="N3","N4",IF(Template!$AA394="N4","N5",IF(Template!$AA394="N5","N6",IF(Template!$AA394="N6","N7",IF(Template!$AA394="N7","N8",IF(Template!$AA394="N8","N9",IF(Template!$AA394="N9","N10","NA")))))))))))</f>
        <v>N4</v>
      </c>
      <c r="W394" s="17">
        <f>COUNTIF(Template!$M$3:$M$619,Template!$D394)</f>
        <v>0</v>
      </c>
      <c r="X394" s="17" t="str">
        <f>IF(Template!$F394="","",SUMIF(Template!$M$3:$M$619,Template!$D394,Template!$AC$3:$AC$619))</f>
        <v/>
      </c>
      <c r="Y394" s="17" t="str">
        <f>IFERROR(VLOOKUP(Template!$M394,Template!$D$3:$G$619,MATCH("EmployeeJobTitle",Template!$D$2:$G$2,0),FALSE),"NA")</f>
        <v>GERENTE DE LOJA</v>
      </c>
      <c r="Z394" s="17" t="str">
        <f>IFERROR(VLOOKUP(Template!$M394,Template!$D$3:$G$619,MATCH("EmployeeGroup",Template!$D$2:$G$2,0),FALSE),"NA")</f>
        <v>GERENTE</v>
      </c>
      <c r="AA394" s="17" t="str">
        <f>IFERROR(VLOOKUP(Template!$M394,Template!$D$3:$V$619,MATCH("Layer",Template!$D$2:$V$2,0),FALSE),"NA")</f>
        <v>N3</v>
      </c>
      <c r="AB394" s="21">
        <f>VLOOKUP(Template!$M394,Template!$D$3:$F$619,MATCH("InternalGrade",Template!$D$2:$F$2,0),FALSE)-Template!$F394</f>
        <v>0</v>
      </c>
      <c r="AC394" s="17">
        <f>IF(Template!$AB394&lt;=1, 0.8,IF(Template!$AB394=2,0.4,IF(Template!$AB394=3,0.2,IF(Template!$AB394=4,0.1,IF(Template!$AB394&gt;=5,0.05,"erro")))))</f>
        <v>0.8</v>
      </c>
      <c r="AD394" s="17" t="b">
        <f>Template!$D394=Template!$M394</f>
        <v>0</v>
      </c>
      <c r="AE394" s="12" t="s">
        <v>58</v>
      </c>
    </row>
    <row r="395" ht="15.75" customHeight="1">
      <c r="A395" s="7" t="s">
        <v>190</v>
      </c>
      <c r="B395" s="7" t="s">
        <v>160</v>
      </c>
      <c r="C395" s="7" t="s">
        <v>245</v>
      </c>
      <c r="D395" s="13">
        <v>25403.0</v>
      </c>
      <c r="E395" s="7" t="s">
        <v>193</v>
      </c>
      <c r="F395" s="13"/>
      <c r="G395" s="14" t="s">
        <v>63</v>
      </c>
      <c r="H395" s="7" t="s">
        <v>224</v>
      </c>
      <c r="I395" s="7" t="s">
        <v>225</v>
      </c>
      <c r="J395" s="7" t="s">
        <v>70</v>
      </c>
      <c r="K395" s="15">
        <v>45566.0</v>
      </c>
      <c r="L395" s="15">
        <v>27900.0</v>
      </c>
      <c r="M395" s="13">
        <v>17855.0</v>
      </c>
      <c r="N395" s="7"/>
      <c r="O395" s="7"/>
      <c r="P395" s="7">
        <v>13.33</v>
      </c>
      <c r="Q395" s="7"/>
      <c r="R395" s="20"/>
      <c r="S395" s="7"/>
      <c r="T395" s="20"/>
      <c r="U395" s="16">
        <f>SUM(Template!$N395:$O395)*Template!$P395+Template!$Q395</f>
        <v>0</v>
      </c>
      <c r="V395" s="17" t="str">
        <f>IF(Template!$M395="CONSELHO","N",IF(Template!$AA395="N","N1",IF(Template!$AA395="N1","N2",IF(Template!$AA395="N2","N3",IF(Template!$AA395="N3","N4",IF(Template!$AA395="N4","N5",IF(Template!$AA395="N5","N6",IF(Template!$AA395="N6","N7",IF(Template!$AA395="N7","N8",IF(Template!$AA395="N8","N9",IF(Template!$AA395="N9","N10","NA")))))))))))</f>
        <v>N4</v>
      </c>
      <c r="W395" s="17">
        <f>COUNTIF(Template!$M$3:$M$619,Template!$D395)</f>
        <v>0</v>
      </c>
      <c r="X395" s="17" t="str">
        <f>IF(Template!$F395="","",SUMIF(Template!$M$3:$M$619,Template!$D395,Template!$AC$3:$AC$619))</f>
        <v/>
      </c>
      <c r="Y395" s="17" t="str">
        <f>IFERROR(VLOOKUP(Template!$M395,Template!$D$3:$G$619,MATCH("EmployeeJobTitle",Template!$D$2:$G$2,0),FALSE),"NA")</f>
        <v>GERENTE DE LOJA</v>
      </c>
      <c r="Z395" s="17" t="str">
        <f>IFERROR(VLOOKUP(Template!$M395,Template!$D$3:$G$619,MATCH("EmployeeGroup",Template!$D$2:$G$2,0),FALSE),"NA")</f>
        <v>GERENTE</v>
      </c>
      <c r="AA395" s="17" t="str">
        <f>IFERROR(VLOOKUP(Template!$M395,Template!$D$3:$V$619,MATCH("Layer",Template!$D$2:$V$2,0),FALSE),"NA")</f>
        <v>N3</v>
      </c>
      <c r="AB395" s="21">
        <f>VLOOKUP(Template!$M395,Template!$D$3:$F$619,MATCH("InternalGrade",Template!$D$2:$F$2,0),FALSE)-Template!$F395</f>
        <v>0</v>
      </c>
      <c r="AC395" s="17">
        <f>IF(Template!$AB395&lt;=1, 0.8,IF(Template!$AB395=2,0.4,IF(Template!$AB395=3,0.2,IF(Template!$AB395=4,0.1,IF(Template!$AB395&gt;=5,0.05,"erro")))))</f>
        <v>0.8</v>
      </c>
      <c r="AD395" s="17" t="b">
        <f>Template!$D395=Template!$M395</f>
        <v>0</v>
      </c>
      <c r="AE395" s="12" t="s">
        <v>58</v>
      </c>
    </row>
    <row r="396" ht="15.75" customHeight="1">
      <c r="A396" s="7" t="s">
        <v>190</v>
      </c>
      <c r="B396" s="7" t="s">
        <v>160</v>
      </c>
      <c r="C396" s="7" t="s">
        <v>245</v>
      </c>
      <c r="D396" s="13">
        <v>24154.0</v>
      </c>
      <c r="E396" s="7" t="s">
        <v>198</v>
      </c>
      <c r="F396" s="13"/>
      <c r="G396" s="14" t="s">
        <v>63</v>
      </c>
      <c r="H396" s="7" t="s">
        <v>224</v>
      </c>
      <c r="I396" s="7" t="s">
        <v>225</v>
      </c>
      <c r="J396" s="7" t="s">
        <v>70</v>
      </c>
      <c r="K396" s="15">
        <v>45124.0</v>
      </c>
      <c r="L396" s="15">
        <v>35099.0</v>
      </c>
      <c r="M396" s="13">
        <v>17855.0</v>
      </c>
      <c r="N396" s="7">
        <v>1578.25</v>
      </c>
      <c r="O396" s="7"/>
      <c r="P396" s="7">
        <v>13.33</v>
      </c>
      <c r="Q396" s="7"/>
      <c r="R396" s="20"/>
      <c r="S396" s="7"/>
      <c r="T396" s="20"/>
      <c r="U396" s="16">
        <f>SUM(Template!$N396:$O396)*Template!$P396+Template!$Q396</f>
        <v>21038.0725</v>
      </c>
      <c r="V396" s="17" t="str">
        <f>IF(Template!$M396="CONSELHO","N",IF(Template!$AA396="N","N1",IF(Template!$AA396="N1","N2",IF(Template!$AA396="N2","N3",IF(Template!$AA396="N3","N4",IF(Template!$AA396="N4","N5",IF(Template!$AA396="N5","N6",IF(Template!$AA396="N6","N7",IF(Template!$AA396="N7","N8",IF(Template!$AA396="N8","N9",IF(Template!$AA396="N9","N10","NA")))))))))))</f>
        <v>N4</v>
      </c>
      <c r="W396" s="17">
        <f>COUNTIF(Template!$M$3:$M$619,Template!$D396)</f>
        <v>0</v>
      </c>
      <c r="X396" s="17" t="str">
        <f>IF(Template!$F396="","",SUMIF(Template!$M$3:$M$619,Template!$D396,Template!$AC$3:$AC$619))</f>
        <v/>
      </c>
      <c r="Y396" s="17" t="str">
        <f>IFERROR(VLOOKUP(Template!$M396,Template!$D$3:$G$619,MATCH("EmployeeJobTitle",Template!$D$2:$G$2,0),FALSE),"NA")</f>
        <v>GERENTE DE LOJA</v>
      </c>
      <c r="Z396" s="17" t="str">
        <f>IFERROR(VLOOKUP(Template!$M396,Template!$D$3:$G$619,MATCH("EmployeeGroup",Template!$D$2:$G$2,0),FALSE),"NA")</f>
        <v>GERENTE</v>
      </c>
      <c r="AA396" s="17" t="str">
        <f>IFERROR(VLOOKUP(Template!$M396,Template!$D$3:$V$619,MATCH("Layer",Template!$D$2:$V$2,0),FALSE),"NA")</f>
        <v>N3</v>
      </c>
      <c r="AB396" s="21">
        <f>VLOOKUP(Template!$M396,Template!$D$3:$F$619,MATCH("InternalGrade",Template!$D$2:$F$2,0),FALSE)-Template!$F396</f>
        <v>0</v>
      </c>
      <c r="AC396" s="17">
        <f>IF(Template!$AB396&lt;=1, 0.8,IF(Template!$AB396=2,0.4,IF(Template!$AB396=3,0.2,IF(Template!$AB396=4,0.1,IF(Template!$AB396&gt;=5,0.05,"erro")))))</f>
        <v>0.8</v>
      </c>
      <c r="AD396" s="17" t="b">
        <f>Template!$D396=Template!$M396</f>
        <v>0</v>
      </c>
      <c r="AE396" s="12" t="s">
        <v>58</v>
      </c>
    </row>
    <row r="397" ht="15.75" customHeight="1">
      <c r="A397" s="7" t="s">
        <v>190</v>
      </c>
      <c r="B397" s="7" t="s">
        <v>160</v>
      </c>
      <c r="C397" s="7" t="s">
        <v>245</v>
      </c>
      <c r="D397" s="13">
        <v>20352.0</v>
      </c>
      <c r="E397" s="7" t="s">
        <v>193</v>
      </c>
      <c r="F397" s="13"/>
      <c r="G397" s="14" t="s">
        <v>63</v>
      </c>
      <c r="H397" s="7" t="s">
        <v>224</v>
      </c>
      <c r="I397" s="7" t="s">
        <v>225</v>
      </c>
      <c r="J397" s="7" t="s">
        <v>70</v>
      </c>
      <c r="K397" s="15">
        <v>44593.0</v>
      </c>
      <c r="L397" s="15">
        <v>28445.0</v>
      </c>
      <c r="M397" s="13">
        <v>17855.0</v>
      </c>
      <c r="N397" s="7"/>
      <c r="O397" s="7"/>
      <c r="P397" s="7">
        <v>13.33</v>
      </c>
      <c r="Q397" s="7"/>
      <c r="R397" s="20"/>
      <c r="S397" s="7"/>
      <c r="T397" s="20"/>
      <c r="U397" s="16">
        <f>SUM(Template!$N397:$O397)*Template!$P397+Template!$Q397</f>
        <v>0</v>
      </c>
      <c r="V397" s="17" t="str">
        <f>IF(Template!$M397="CONSELHO","N",IF(Template!$AA397="N","N1",IF(Template!$AA397="N1","N2",IF(Template!$AA397="N2","N3",IF(Template!$AA397="N3","N4",IF(Template!$AA397="N4","N5",IF(Template!$AA397="N5","N6",IF(Template!$AA397="N6","N7",IF(Template!$AA397="N7","N8",IF(Template!$AA397="N8","N9",IF(Template!$AA397="N9","N10","NA")))))))))))</f>
        <v>N4</v>
      </c>
      <c r="W397" s="17">
        <f>COUNTIF(Template!$M$3:$M$619,Template!$D397)</f>
        <v>0</v>
      </c>
      <c r="X397" s="17" t="str">
        <f>IF(Template!$F397="","",SUMIF(Template!$M$3:$M$619,Template!$D397,Template!$AC$3:$AC$619))</f>
        <v/>
      </c>
      <c r="Y397" s="17" t="str">
        <f>IFERROR(VLOOKUP(Template!$M397,Template!$D$3:$G$619,MATCH("EmployeeJobTitle",Template!$D$2:$G$2,0),FALSE),"NA")</f>
        <v>GERENTE DE LOJA</v>
      </c>
      <c r="Z397" s="17" t="str">
        <f>IFERROR(VLOOKUP(Template!$M397,Template!$D$3:$G$619,MATCH("EmployeeGroup",Template!$D$2:$G$2,0),FALSE),"NA")</f>
        <v>GERENTE</v>
      </c>
      <c r="AA397" s="17" t="str">
        <f>IFERROR(VLOOKUP(Template!$M397,Template!$D$3:$V$619,MATCH("Layer",Template!$D$2:$V$2,0),FALSE),"NA")</f>
        <v>N3</v>
      </c>
      <c r="AB397" s="21">
        <f>VLOOKUP(Template!$M397,Template!$D$3:$F$619,MATCH("InternalGrade",Template!$D$2:$F$2,0),FALSE)-Template!$F397</f>
        <v>0</v>
      </c>
      <c r="AC397" s="17">
        <f>IF(Template!$AB397&lt;=1, 0.8,IF(Template!$AB397=2,0.4,IF(Template!$AB397=3,0.2,IF(Template!$AB397=4,0.1,IF(Template!$AB397&gt;=5,0.05,"erro")))))</f>
        <v>0.8</v>
      </c>
      <c r="AD397" s="17" t="b">
        <f>Template!$D397=Template!$M397</f>
        <v>0</v>
      </c>
      <c r="AE397" s="12" t="s">
        <v>58</v>
      </c>
    </row>
    <row r="398" ht="15.75" customHeight="1">
      <c r="A398" s="7" t="s">
        <v>190</v>
      </c>
      <c r="B398" s="7" t="s">
        <v>160</v>
      </c>
      <c r="C398" s="7" t="s">
        <v>245</v>
      </c>
      <c r="D398" s="13">
        <v>24795.0</v>
      </c>
      <c r="E398" s="7" t="s">
        <v>196</v>
      </c>
      <c r="F398" s="13"/>
      <c r="G398" s="14" t="s">
        <v>63</v>
      </c>
      <c r="H398" s="7" t="s">
        <v>224</v>
      </c>
      <c r="I398" s="7" t="s">
        <v>225</v>
      </c>
      <c r="J398" s="7" t="s">
        <v>70</v>
      </c>
      <c r="K398" s="15">
        <v>45306.0</v>
      </c>
      <c r="L398" s="15">
        <v>31756.0</v>
      </c>
      <c r="M398" s="13">
        <v>17855.0</v>
      </c>
      <c r="N398" s="7">
        <v>1578.25</v>
      </c>
      <c r="O398" s="7"/>
      <c r="P398" s="7">
        <v>13.33</v>
      </c>
      <c r="Q398" s="7"/>
      <c r="R398" s="20"/>
      <c r="S398" s="7"/>
      <c r="T398" s="20"/>
      <c r="U398" s="16">
        <f>SUM(Template!$N398:$O398)*Template!$P398+Template!$Q398</f>
        <v>21038.0725</v>
      </c>
      <c r="V398" s="17" t="str">
        <f>IF(Template!$M398="CONSELHO","N",IF(Template!$AA398="N","N1",IF(Template!$AA398="N1","N2",IF(Template!$AA398="N2","N3",IF(Template!$AA398="N3","N4",IF(Template!$AA398="N4","N5",IF(Template!$AA398="N5","N6",IF(Template!$AA398="N6","N7",IF(Template!$AA398="N7","N8",IF(Template!$AA398="N8","N9",IF(Template!$AA398="N9","N10","NA")))))))))))</f>
        <v>N4</v>
      </c>
      <c r="W398" s="17">
        <f>COUNTIF(Template!$M$3:$M$619,Template!$D398)</f>
        <v>0</v>
      </c>
      <c r="X398" s="17" t="str">
        <f>IF(Template!$F398="","",SUMIF(Template!$M$3:$M$619,Template!$D398,Template!$AC$3:$AC$619))</f>
        <v/>
      </c>
      <c r="Y398" s="17" t="str">
        <f>IFERROR(VLOOKUP(Template!$M398,Template!$D$3:$G$619,MATCH("EmployeeJobTitle",Template!$D$2:$G$2,0),FALSE),"NA")</f>
        <v>GERENTE DE LOJA</v>
      </c>
      <c r="Z398" s="17" t="str">
        <f>IFERROR(VLOOKUP(Template!$M398,Template!$D$3:$G$619,MATCH("EmployeeGroup",Template!$D$2:$G$2,0),FALSE),"NA")</f>
        <v>GERENTE</v>
      </c>
      <c r="AA398" s="17" t="str">
        <f>IFERROR(VLOOKUP(Template!$M398,Template!$D$3:$V$619,MATCH("Layer",Template!$D$2:$V$2,0),FALSE),"NA")</f>
        <v>N3</v>
      </c>
      <c r="AB398" s="21">
        <f>VLOOKUP(Template!$M398,Template!$D$3:$F$619,MATCH("InternalGrade",Template!$D$2:$F$2,0),FALSE)-Template!$F398</f>
        <v>0</v>
      </c>
      <c r="AC398" s="17">
        <f>IF(Template!$AB398&lt;=1, 0.8,IF(Template!$AB398=2,0.4,IF(Template!$AB398=3,0.2,IF(Template!$AB398=4,0.1,IF(Template!$AB398&gt;=5,0.05,"erro")))))</f>
        <v>0.8</v>
      </c>
      <c r="AD398" s="17" t="b">
        <f>Template!$D398=Template!$M398</f>
        <v>0</v>
      </c>
      <c r="AE398" s="12" t="s">
        <v>58</v>
      </c>
    </row>
    <row r="399" ht="15.75" customHeight="1">
      <c r="A399" s="7" t="s">
        <v>190</v>
      </c>
      <c r="B399" s="7" t="s">
        <v>160</v>
      </c>
      <c r="C399" s="7" t="s">
        <v>245</v>
      </c>
      <c r="D399" s="13">
        <v>24810.0</v>
      </c>
      <c r="E399" s="7" t="s">
        <v>193</v>
      </c>
      <c r="F399" s="13"/>
      <c r="G399" s="14" t="s">
        <v>63</v>
      </c>
      <c r="H399" s="7" t="s">
        <v>224</v>
      </c>
      <c r="I399" s="7" t="s">
        <v>225</v>
      </c>
      <c r="J399" s="7" t="s">
        <v>70</v>
      </c>
      <c r="K399" s="15">
        <v>45313.0</v>
      </c>
      <c r="L399" s="15">
        <v>24939.0</v>
      </c>
      <c r="M399" s="13">
        <v>17855.0</v>
      </c>
      <c r="N399" s="7"/>
      <c r="O399" s="7"/>
      <c r="P399" s="7">
        <v>13.33</v>
      </c>
      <c r="Q399" s="7"/>
      <c r="R399" s="20"/>
      <c r="S399" s="7"/>
      <c r="T399" s="20"/>
      <c r="U399" s="16">
        <f>SUM(Template!$N399:$O399)*Template!$P399+Template!$Q399</f>
        <v>0</v>
      </c>
      <c r="V399" s="17" t="str">
        <f>IF(Template!$M399="CONSELHO","N",IF(Template!$AA399="N","N1",IF(Template!$AA399="N1","N2",IF(Template!$AA399="N2","N3",IF(Template!$AA399="N3","N4",IF(Template!$AA399="N4","N5",IF(Template!$AA399="N5","N6",IF(Template!$AA399="N6","N7",IF(Template!$AA399="N7","N8",IF(Template!$AA399="N8","N9",IF(Template!$AA399="N9","N10","NA")))))))))))</f>
        <v>N4</v>
      </c>
      <c r="W399" s="17">
        <f>COUNTIF(Template!$M$3:$M$619,Template!$D399)</f>
        <v>0</v>
      </c>
      <c r="X399" s="17" t="str">
        <f>IF(Template!$F399="","",SUMIF(Template!$M$3:$M$619,Template!$D399,Template!$AC$3:$AC$619))</f>
        <v/>
      </c>
      <c r="Y399" s="17" t="str">
        <f>IFERROR(VLOOKUP(Template!$M399,Template!$D$3:$G$619,MATCH("EmployeeJobTitle",Template!$D$2:$G$2,0),FALSE),"NA")</f>
        <v>GERENTE DE LOJA</v>
      </c>
      <c r="Z399" s="17" t="str">
        <f>IFERROR(VLOOKUP(Template!$M399,Template!$D$3:$G$619,MATCH("EmployeeGroup",Template!$D$2:$G$2,0),FALSE),"NA")</f>
        <v>GERENTE</v>
      </c>
      <c r="AA399" s="17" t="str">
        <f>IFERROR(VLOOKUP(Template!$M399,Template!$D$3:$V$619,MATCH("Layer",Template!$D$2:$V$2,0),FALSE),"NA")</f>
        <v>N3</v>
      </c>
      <c r="AB399" s="21">
        <f>VLOOKUP(Template!$M399,Template!$D$3:$F$619,MATCH("InternalGrade",Template!$D$2:$F$2,0),FALSE)-Template!$F399</f>
        <v>0</v>
      </c>
      <c r="AC399" s="17">
        <f>IF(Template!$AB399&lt;=1, 0.8,IF(Template!$AB399=2,0.4,IF(Template!$AB399=3,0.2,IF(Template!$AB399=4,0.1,IF(Template!$AB399&gt;=5,0.05,"erro")))))</f>
        <v>0.8</v>
      </c>
      <c r="AD399" s="17" t="b">
        <f>Template!$D399=Template!$M399</f>
        <v>0</v>
      </c>
      <c r="AE399" s="12" t="s">
        <v>58</v>
      </c>
    </row>
    <row r="400" ht="15.75" customHeight="1">
      <c r="A400" s="7" t="s">
        <v>190</v>
      </c>
      <c r="B400" s="7" t="s">
        <v>160</v>
      </c>
      <c r="C400" s="7" t="s">
        <v>245</v>
      </c>
      <c r="D400" s="13">
        <v>20190.0</v>
      </c>
      <c r="E400" s="7" t="s">
        <v>193</v>
      </c>
      <c r="F400" s="13"/>
      <c r="G400" s="14" t="s">
        <v>63</v>
      </c>
      <c r="H400" s="7" t="s">
        <v>224</v>
      </c>
      <c r="I400" s="7" t="s">
        <v>225</v>
      </c>
      <c r="J400" s="7" t="s">
        <v>70</v>
      </c>
      <c r="K400" s="15">
        <v>44531.0</v>
      </c>
      <c r="L400" s="15">
        <v>27188.0</v>
      </c>
      <c r="M400" s="13">
        <v>17855.0</v>
      </c>
      <c r="N400" s="7"/>
      <c r="O400" s="7"/>
      <c r="P400" s="7">
        <v>13.33</v>
      </c>
      <c r="Q400" s="7"/>
      <c r="R400" s="20"/>
      <c r="S400" s="7"/>
      <c r="T400" s="20"/>
      <c r="U400" s="16">
        <f>SUM(Template!$N400:$O400)*Template!$P400+Template!$Q400</f>
        <v>0</v>
      </c>
      <c r="V400" s="17" t="str">
        <f>IF(Template!$M400="CONSELHO","N",IF(Template!$AA400="N","N1",IF(Template!$AA400="N1","N2",IF(Template!$AA400="N2","N3",IF(Template!$AA400="N3","N4",IF(Template!$AA400="N4","N5",IF(Template!$AA400="N5","N6",IF(Template!$AA400="N6","N7",IF(Template!$AA400="N7","N8",IF(Template!$AA400="N8","N9",IF(Template!$AA400="N9","N10","NA")))))))))))</f>
        <v>N4</v>
      </c>
      <c r="W400" s="17">
        <f>COUNTIF(Template!$M$3:$M$619,Template!$D400)</f>
        <v>0</v>
      </c>
      <c r="X400" s="17" t="str">
        <f>IF(Template!$F400="","",SUMIF(Template!$M$3:$M$619,Template!$D400,Template!$AC$3:$AC$619))</f>
        <v/>
      </c>
      <c r="Y400" s="17" t="str">
        <f>IFERROR(VLOOKUP(Template!$M400,Template!$D$3:$G$619,MATCH("EmployeeJobTitle",Template!$D$2:$G$2,0),FALSE),"NA")</f>
        <v>GERENTE DE LOJA</v>
      </c>
      <c r="Z400" s="17" t="str">
        <f>IFERROR(VLOOKUP(Template!$M400,Template!$D$3:$G$619,MATCH("EmployeeGroup",Template!$D$2:$G$2,0),FALSE),"NA")</f>
        <v>GERENTE</v>
      </c>
      <c r="AA400" s="17" t="str">
        <f>IFERROR(VLOOKUP(Template!$M400,Template!$D$3:$V$619,MATCH("Layer",Template!$D$2:$V$2,0),FALSE),"NA")</f>
        <v>N3</v>
      </c>
      <c r="AB400" s="21">
        <f>VLOOKUP(Template!$M400,Template!$D$3:$F$619,MATCH("InternalGrade",Template!$D$2:$F$2,0),FALSE)-Template!$F400</f>
        <v>0</v>
      </c>
      <c r="AC400" s="17">
        <f>IF(Template!$AB400&lt;=1, 0.8,IF(Template!$AB400=2,0.4,IF(Template!$AB400=3,0.2,IF(Template!$AB400=4,0.1,IF(Template!$AB400&gt;=5,0.05,"erro")))))</f>
        <v>0.8</v>
      </c>
      <c r="AD400" s="17" t="b">
        <f>Template!$D400=Template!$M400</f>
        <v>0</v>
      </c>
      <c r="AE400" s="12" t="s">
        <v>58</v>
      </c>
    </row>
    <row r="401" ht="15.75" customHeight="1">
      <c r="A401" s="7" t="s">
        <v>190</v>
      </c>
      <c r="B401" s="7" t="s">
        <v>160</v>
      </c>
      <c r="C401" s="7" t="s">
        <v>245</v>
      </c>
      <c r="D401" s="13">
        <v>24454.0</v>
      </c>
      <c r="E401" s="7" t="s">
        <v>193</v>
      </c>
      <c r="F401" s="13"/>
      <c r="G401" s="14" t="s">
        <v>63</v>
      </c>
      <c r="H401" s="7" t="s">
        <v>224</v>
      </c>
      <c r="I401" s="7" t="s">
        <v>225</v>
      </c>
      <c r="J401" s="7" t="s">
        <v>70</v>
      </c>
      <c r="K401" s="15">
        <v>45236.0</v>
      </c>
      <c r="L401" s="15">
        <v>27097.0</v>
      </c>
      <c r="M401" s="13">
        <v>17855.0</v>
      </c>
      <c r="N401" s="7"/>
      <c r="O401" s="7"/>
      <c r="P401" s="7">
        <v>13.33</v>
      </c>
      <c r="Q401" s="7"/>
      <c r="R401" s="20"/>
      <c r="S401" s="7"/>
      <c r="T401" s="20"/>
      <c r="U401" s="16">
        <f>SUM(Template!$N401:$O401)*Template!$P401+Template!$Q401</f>
        <v>0</v>
      </c>
      <c r="V401" s="17" t="str">
        <f>IF(Template!$M401="CONSELHO","N",IF(Template!$AA401="N","N1",IF(Template!$AA401="N1","N2",IF(Template!$AA401="N2","N3",IF(Template!$AA401="N3","N4",IF(Template!$AA401="N4","N5",IF(Template!$AA401="N5","N6",IF(Template!$AA401="N6","N7",IF(Template!$AA401="N7","N8",IF(Template!$AA401="N8","N9",IF(Template!$AA401="N9","N10","NA")))))))))))</f>
        <v>N4</v>
      </c>
      <c r="W401" s="17">
        <f>COUNTIF(Template!$M$3:$M$619,Template!$D401)</f>
        <v>0</v>
      </c>
      <c r="X401" s="17" t="str">
        <f>IF(Template!$F401="","",SUMIF(Template!$M$3:$M$619,Template!$D401,Template!$AC$3:$AC$619))</f>
        <v/>
      </c>
      <c r="Y401" s="17" t="str">
        <f>IFERROR(VLOOKUP(Template!$M401,Template!$D$3:$G$619,MATCH("EmployeeJobTitle",Template!$D$2:$G$2,0),FALSE),"NA")</f>
        <v>GERENTE DE LOJA</v>
      </c>
      <c r="Z401" s="17" t="str">
        <f>IFERROR(VLOOKUP(Template!$M401,Template!$D$3:$G$619,MATCH("EmployeeGroup",Template!$D$2:$G$2,0),FALSE),"NA")</f>
        <v>GERENTE</v>
      </c>
      <c r="AA401" s="17" t="str">
        <f>IFERROR(VLOOKUP(Template!$M401,Template!$D$3:$V$619,MATCH("Layer",Template!$D$2:$V$2,0),FALSE),"NA")</f>
        <v>N3</v>
      </c>
      <c r="AB401" s="21">
        <f>VLOOKUP(Template!$M401,Template!$D$3:$F$619,MATCH("InternalGrade",Template!$D$2:$F$2,0),FALSE)-Template!$F401</f>
        <v>0</v>
      </c>
      <c r="AC401" s="17">
        <f>IF(Template!$AB401&lt;=1, 0.8,IF(Template!$AB401=2,0.4,IF(Template!$AB401=3,0.2,IF(Template!$AB401=4,0.1,IF(Template!$AB401&gt;=5,0.05,"erro")))))</f>
        <v>0.8</v>
      </c>
      <c r="AD401" s="17" t="b">
        <f>Template!$D401=Template!$M401</f>
        <v>0</v>
      </c>
      <c r="AE401" s="12" t="s">
        <v>58</v>
      </c>
    </row>
    <row r="402" ht="15.75" customHeight="1">
      <c r="A402" s="7" t="s">
        <v>190</v>
      </c>
      <c r="B402" s="7" t="s">
        <v>160</v>
      </c>
      <c r="C402" s="7" t="s">
        <v>245</v>
      </c>
      <c r="D402" s="13">
        <v>17855.0</v>
      </c>
      <c r="E402" s="7" t="s">
        <v>199</v>
      </c>
      <c r="F402" s="13"/>
      <c r="G402" s="22" t="s">
        <v>200</v>
      </c>
      <c r="H402" s="7" t="s">
        <v>224</v>
      </c>
      <c r="I402" s="7" t="s">
        <v>225</v>
      </c>
      <c r="J402" s="7" t="s">
        <v>70</v>
      </c>
      <c r="K402" s="15">
        <v>43711.0</v>
      </c>
      <c r="L402" s="15">
        <v>28801.0</v>
      </c>
      <c r="M402" s="13">
        <v>12404.0</v>
      </c>
      <c r="N402" s="7">
        <v>6143.0</v>
      </c>
      <c r="O402" s="7"/>
      <c r="P402" s="7">
        <v>13.33</v>
      </c>
      <c r="Q402" s="7"/>
      <c r="R402" s="20"/>
      <c r="S402" s="7"/>
      <c r="T402" s="20"/>
      <c r="U402" s="16">
        <f>SUM(Template!$N402:$O402)*Template!$P402+Template!$Q402</f>
        <v>81886.19</v>
      </c>
      <c r="V402" s="17" t="str">
        <f>IF(Template!$M402="CONSELHO","N",IF(Template!$AA402="N","N1",IF(Template!$AA402="N1","N2",IF(Template!$AA402="N2","N3",IF(Template!$AA402="N3","N4",IF(Template!$AA402="N4","N5",IF(Template!$AA402="N5","N6",IF(Template!$AA402="N6","N7",IF(Template!$AA402="N7","N8",IF(Template!$AA402="N8","N9",IF(Template!$AA402="N9","N10","NA")))))))))))</f>
        <v>N3</v>
      </c>
      <c r="W402" s="17">
        <f>COUNTIF(Template!$M$3:$M$619,Template!$D402)</f>
        <v>16</v>
      </c>
      <c r="X402" s="17" t="str">
        <f>IF(Template!$F402="","",SUMIF(Template!$M$3:$M$619,Template!$D402,Template!$AC$3:$AC$619))</f>
        <v/>
      </c>
      <c r="Y402" s="17" t="str">
        <f>IFERROR(VLOOKUP(Template!$M402,Template!$D$3:$G$619,MATCH("EmployeeJobTitle",Template!$D$2:$G$2,0),FALSE),"NA")</f>
        <v>GERENTE COMERCIAL</v>
      </c>
      <c r="Z402" s="17" t="str">
        <f>IFERROR(VLOOKUP(Template!$M402,Template!$D$3:$G$619,MATCH("EmployeeGroup",Template!$D$2:$G$2,0),FALSE),"NA")</f>
        <v>Coordenador</v>
      </c>
      <c r="AA402" s="17" t="str">
        <f>IFERROR(VLOOKUP(Template!$M402,Template!$D$3:$V$619,MATCH("Layer",Template!$D$2:$V$2,0),FALSE),"NA")</f>
        <v>N2</v>
      </c>
      <c r="AB402" s="21">
        <f>VLOOKUP(Template!$M402,Template!$D$3:$F$619,MATCH("InternalGrade",Template!$D$2:$F$2,0),FALSE)-Template!$F402</f>
        <v>19</v>
      </c>
      <c r="AC402" s="17">
        <f>IF(Template!$AB402&lt;=1, 0.8,IF(Template!$AB402=2,0.4,IF(Template!$AB402=3,0.2,IF(Template!$AB402=4,0.1,IF(Template!$AB402&gt;=5,0.05,"erro")))))</f>
        <v>0.05</v>
      </c>
      <c r="AD402" s="17" t="b">
        <f>Template!$D402=Template!$M402</f>
        <v>0</v>
      </c>
      <c r="AE402" s="12" t="s">
        <v>58</v>
      </c>
    </row>
    <row r="403" ht="15.75" customHeight="1">
      <c r="A403" s="7" t="s">
        <v>190</v>
      </c>
      <c r="B403" s="7" t="s">
        <v>160</v>
      </c>
      <c r="C403" s="7" t="s">
        <v>245</v>
      </c>
      <c r="D403" s="13">
        <v>25395.0</v>
      </c>
      <c r="E403" s="7" t="s">
        <v>198</v>
      </c>
      <c r="F403" s="13"/>
      <c r="G403" s="14" t="s">
        <v>63</v>
      </c>
      <c r="H403" s="7" t="s">
        <v>224</v>
      </c>
      <c r="I403" s="7" t="s">
        <v>225</v>
      </c>
      <c r="J403" s="7" t="s">
        <v>70</v>
      </c>
      <c r="K403" s="15">
        <v>45554.0</v>
      </c>
      <c r="L403" s="15">
        <v>38550.0</v>
      </c>
      <c r="M403" s="13">
        <v>17855.0</v>
      </c>
      <c r="N403" s="7">
        <v>1578.25</v>
      </c>
      <c r="O403" s="7"/>
      <c r="P403" s="7">
        <v>13.33</v>
      </c>
      <c r="Q403" s="7"/>
      <c r="R403" s="20"/>
      <c r="S403" s="7"/>
      <c r="T403" s="20"/>
      <c r="U403" s="16">
        <f>SUM(Template!$N403:$O403)*Template!$P403+Template!$Q403</f>
        <v>21038.0725</v>
      </c>
      <c r="V403" s="17" t="str">
        <f>IF(Template!$M403="CONSELHO","N",IF(Template!$AA403="N","N1",IF(Template!$AA403="N1","N2",IF(Template!$AA403="N2","N3",IF(Template!$AA403="N3","N4",IF(Template!$AA403="N4","N5",IF(Template!$AA403="N5","N6",IF(Template!$AA403="N6","N7",IF(Template!$AA403="N7","N8",IF(Template!$AA403="N8","N9",IF(Template!$AA403="N9","N10","NA")))))))))))</f>
        <v>N4</v>
      </c>
      <c r="W403" s="17">
        <f>COUNTIF(Template!$M$3:$M$619,Template!$D403)</f>
        <v>0</v>
      </c>
      <c r="X403" s="17" t="str">
        <f>IF(Template!$F403="","",SUMIF(Template!$M$3:$M$619,Template!$D403,Template!$AC$3:$AC$619))</f>
        <v/>
      </c>
      <c r="Y403" s="17" t="str">
        <f>IFERROR(VLOOKUP(Template!$M403,Template!$D$3:$G$619,MATCH("EmployeeJobTitle",Template!$D$2:$G$2,0),FALSE),"NA")</f>
        <v>GERENTE DE LOJA</v>
      </c>
      <c r="Z403" s="17" t="str">
        <f>IFERROR(VLOOKUP(Template!$M403,Template!$D$3:$G$619,MATCH("EmployeeGroup",Template!$D$2:$G$2,0),FALSE),"NA")</f>
        <v>GERENTE</v>
      </c>
      <c r="AA403" s="17" t="str">
        <f>IFERROR(VLOOKUP(Template!$M403,Template!$D$3:$V$619,MATCH("Layer",Template!$D$2:$V$2,0),FALSE),"NA")</f>
        <v>N3</v>
      </c>
      <c r="AB403" s="21">
        <f>VLOOKUP(Template!$M403,Template!$D$3:$F$619,MATCH("InternalGrade",Template!$D$2:$F$2,0),FALSE)-Template!$F403</f>
        <v>0</v>
      </c>
      <c r="AC403" s="17">
        <f>IF(Template!$AB403&lt;=1, 0.8,IF(Template!$AB403=2,0.4,IF(Template!$AB403=3,0.2,IF(Template!$AB403=4,0.1,IF(Template!$AB403&gt;=5,0.05,"erro")))))</f>
        <v>0.8</v>
      </c>
      <c r="AD403" s="17" t="b">
        <f>Template!$D403=Template!$M403</f>
        <v>0</v>
      </c>
      <c r="AE403" s="12" t="s">
        <v>58</v>
      </c>
    </row>
    <row r="404" ht="15.75" customHeight="1">
      <c r="A404" s="7" t="s">
        <v>190</v>
      </c>
      <c r="B404" s="7" t="s">
        <v>160</v>
      </c>
      <c r="C404" s="7" t="s">
        <v>246</v>
      </c>
      <c r="D404" s="13">
        <v>19785.0</v>
      </c>
      <c r="E404" s="7" t="s">
        <v>204</v>
      </c>
      <c r="F404" s="13"/>
      <c r="G404" s="14" t="s">
        <v>63</v>
      </c>
      <c r="H404" s="7" t="s">
        <v>247</v>
      </c>
      <c r="I404" s="7" t="s">
        <v>248</v>
      </c>
      <c r="J404" s="7" t="s">
        <v>70</v>
      </c>
      <c r="K404" s="15">
        <v>44440.0</v>
      </c>
      <c r="L404" s="15">
        <v>31549.0</v>
      </c>
      <c r="M404" s="13">
        <v>25165.0</v>
      </c>
      <c r="N404" s="7"/>
      <c r="O404" s="7"/>
      <c r="P404" s="7">
        <v>13.33</v>
      </c>
      <c r="Q404" s="7"/>
      <c r="R404" s="20"/>
      <c r="S404" s="7"/>
      <c r="T404" s="20"/>
      <c r="U404" s="16">
        <f>SUM(Template!$N404:$O404)*Template!$P404+Template!$Q404</f>
        <v>0</v>
      </c>
      <c r="V404" s="17" t="str">
        <f>IF(Template!$M404="CONSELHO","N",IF(Template!$AA404="N","N1",IF(Template!$AA404="N1","N2",IF(Template!$AA404="N2","N3",IF(Template!$AA404="N3","N4",IF(Template!$AA404="N4","N5",IF(Template!$AA404="N5","N6",IF(Template!$AA404="N6","N7",IF(Template!$AA404="N7","N8",IF(Template!$AA404="N8","N9",IF(Template!$AA404="N9","N10","NA")))))))))))</f>
        <v>N4</v>
      </c>
      <c r="W404" s="17">
        <f>COUNTIF(Template!$M$3:$M$619,Template!$D404)</f>
        <v>0</v>
      </c>
      <c r="X404" s="17" t="str">
        <f>IF(Template!$F404="","",SUMIF(Template!$M$3:$M$619,Template!$D404,Template!$AC$3:$AC$619))</f>
        <v/>
      </c>
      <c r="Y404" s="17" t="str">
        <f>IFERROR(VLOOKUP(Template!$M404,Template!$D$3:$G$619,MATCH("EmployeeJobTitle",Template!$D$2:$G$2,0),FALSE),"NA")</f>
        <v>GERENTE DE LOJA PL</v>
      </c>
      <c r="Z404" s="17" t="str">
        <f>IFERROR(VLOOKUP(Template!$M404,Template!$D$3:$G$619,MATCH("EmployeeGroup",Template!$D$2:$G$2,0),FALSE),"NA")</f>
        <v>GERENTE</v>
      </c>
      <c r="AA404" s="17" t="str">
        <f>IFERROR(VLOOKUP(Template!$M404,Template!$D$3:$V$619,MATCH("Layer",Template!$D$2:$V$2,0),FALSE),"NA")</f>
        <v>N3</v>
      </c>
      <c r="AB404" s="21">
        <f>VLOOKUP(Template!$M404,Template!$D$3:$F$619,MATCH("InternalGrade",Template!$D$2:$F$2,0),FALSE)-Template!$F404</f>
        <v>0</v>
      </c>
      <c r="AC404" s="17">
        <f>IF(Template!$AB404&lt;=1, 0.8,IF(Template!$AB404=2,0.4,IF(Template!$AB404=3,0.2,IF(Template!$AB404=4,0.1,IF(Template!$AB404&gt;=5,0.05,"erro")))))</f>
        <v>0.8</v>
      </c>
      <c r="AD404" s="17" t="b">
        <f>Template!$D404=Template!$M404</f>
        <v>0</v>
      </c>
      <c r="AE404" s="12" t="s">
        <v>58</v>
      </c>
    </row>
    <row r="405" ht="15.75" customHeight="1">
      <c r="A405" s="7" t="s">
        <v>190</v>
      </c>
      <c r="B405" s="7" t="s">
        <v>160</v>
      </c>
      <c r="C405" s="7" t="s">
        <v>246</v>
      </c>
      <c r="D405" s="13">
        <v>24925.0</v>
      </c>
      <c r="E405" s="7" t="s">
        <v>193</v>
      </c>
      <c r="F405" s="13"/>
      <c r="G405" s="14" t="s">
        <v>63</v>
      </c>
      <c r="H405" s="7" t="s">
        <v>247</v>
      </c>
      <c r="I405" s="7" t="s">
        <v>248</v>
      </c>
      <c r="J405" s="7" t="s">
        <v>70</v>
      </c>
      <c r="K405" s="15">
        <v>45369.0</v>
      </c>
      <c r="L405" s="15">
        <v>34982.0</v>
      </c>
      <c r="M405" s="13">
        <v>25165.0</v>
      </c>
      <c r="N405" s="7"/>
      <c r="O405" s="7"/>
      <c r="P405" s="7">
        <v>13.33</v>
      </c>
      <c r="Q405" s="7"/>
      <c r="R405" s="20"/>
      <c r="S405" s="7"/>
      <c r="T405" s="20"/>
      <c r="U405" s="16">
        <f>SUM(Template!$N405:$O405)*Template!$P405+Template!$Q405</f>
        <v>0</v>
      </c>
      <c r="V405" s="17" t="str">
        <f>IF(Template!$M405="CONSELHO","N",IF(Template!$AA405="N","N1",IF(Template!$AA405="N1","N2",IF(Template!$AA405="N2","N3",IF(Template!$AA405="N3","N4",IF(Template!$AA405="N4","N5",IF(Template!$AA405="N5","N6",IF(Template!$AA405="N6","N7",IF(Template!$AA405="N7","N8",IF(Template!$AA405="N8","N9",IF(Template!$AA405="N9","N10","NA")))))))))))</f>
        <v>N4</v>
      </c>
      <c r="W405" s="17">
        <f>COUNTIF(Template!$M$3:$M$619,Template!$D405)</f>
        <v>0</v>
      </c>
      <c r="X405" s="17" t="str">
        <f>IF(Template!$F405="","",SUMIF(Template!$M$3:$M$619,Template!$D405,Template!$AC$3:$AC$619))</f>
        <v/>
      </c>
      <c r="Y405" s="17" t="str">
        <f>IFERROR(VLOOKUP(Template!$M405,Template!$D$3:$G$619,MATCH("EmployeeJobTitle",Template!$D$2:$G$2,0),FALSE),"NA")</f>
        <v>GERENTE DE LOJA PL</v>
      </c>
      <c r="Z405" s="17" t="str">
        <f>IFERROR(VLOOKUP(Template!$M405,Template!$D$3:$G$619,MATCH("EmployeeGroup",Template!$D$2:$G$2,0),FALSE),"NA")</f>
        <v>GERENTE</v>
      </c>
      <c r="AA405" s="17" t="str">
        <f>IFERROR(VLOOKUP(Template!$M405,Template!$D$3:$V$619,MATCH("Layer",Template!$D$2:$V$2,0),FALSE),"NA")</f>
        <v>N3</v>
      </c>
      <c r="AB405" s="21">
        <f>VLOOKUP(Template!$M405,Template!$D$3:$F$619,MATCH("InternalGrade",Template!$D$2:$F$2,0),FALSE)-Template!$F405</f>
        <v>0</v>
      </c>
      <c r="AC405" s="17">
        <f>IF(Template!$AB405&lt;=1, 0.8,IF(Template!$AB405=2,0.4,IF(Template!$AB405=3,0.2,IF(Template!$AB405=4,0.1,IF(Template!$AB405&gt;=5,0.05,"erro")))))</f>
        <v>0.8</v>
      </c>
      <c r="AD405" s="17" t="b">
        <f>Template!$D405=Template!$M405</f>
        <v>0</v>
      </c>
      <c r="AE405" s="12" t="s">
        <v>58</v>
      </c>
    </row>
    <row r="406" ht="15.75" customHeight="1">
      <c r="A406" s="7" t="s">
        <v>190</v>
      </c>
      <c r="B406" s="7" t="s">
        <v>160</v>
      </c>
      <c r="C406" s="7" t="s">
        <v>246</v>
      </c>
      <c r="D406" s="13">
        <v>25165.0</v>
      </c>
      <c r="E406" s="7" t="s">
        <v>219</v>
      </c>
      <c r="F406" s="13"/>
      <c r="G406" s="22" t="s">
        <v>200</v>
      </c>
      <c r="H406" s="7" t="s">
        <v>247</v>
      </c>
      <c r="I406" s="7" t="s">
        <v>248</v>
      </c>
      <c r="J406" s="7" t="s">
        <v>70</v>
      </c>
      <c r="K406" s="15">
        <v>45474.0</v>
      </c>
      <c r="L406" s="15">
        <v>31709.0</v>
      </c>
      <c r="M406" s="13">
        <v>12404.0</v>
      </c>
      <c r="N406" s="7">
        <v>5500.0</v>
      </c>
      <c r="O406" s="7"/>
      <c r="P406" s="7">
        <v>13.33</v>
      </c>
      <c r="Q406" s="7"/>
      <c r="R406" s="20"/>
      <c r="S406" s="7"/>
      <c r="T406" s="20"/>
      <c r="U406" s="16">
        <f>SUM(Template!$N406:$O406)*Template!$P406+Template!$Q406</f>
        <v>73315</v>
      </c>
      <c r="V406" s="17" t="str">
        <f>IF(Template!$M406="CONSELHO","N",IF(Template!$AA406="N","N1",IF(Template!$AA406="N1","N2",IF(Template!$AA406="N2","N3",IF(Template!$AA406="N3","N4",IF(Template!$AA406="N4","N5",IF(Template!$AA406="N5","N6",IF(Template!$AA406="N6","N7",IF(Template!$AA406="N7","N8",IF(Template!$AA406="N8","N9",IF(Template!$AA406="N9","N10","NA")))))))))))</f>
        <v>N3</v>
      </c>
      <c r="W406" s="17">
        <f>COUNTIF(Template!$M$3:$M$619,Template!$D406)</f>
        <v>8</v>
      </c>
      <c r="X406" s="17" t="str">
        <f>IF(Template!$F406="","",SUMIF(Template!$M$3:$M$619,Template!$D406,Template!$AC$3:$AC$619))</f>
        <v/>
      </c>
      <c r="Y406" s="17" t="str">
        <f>IFERROR(VLOOKUP(Template!$M406,Template!$D$3:$G$619,MATCH("EmployeeJobTitle",Template!$D$2:$G$2,0),FALSE),"NA")</f>
        <v>GERENTE COMERCIAL</v>
      </c>
      <c r="Z406" s="17" t="str">
        <f>IFERROR(VLOOKUP(Template!$M406,Template!$D$3:$G$619,MATCH("EmployeeGroup",Template!$D$2:$G$2,0),FALSE),"NA")</f>
        <v>Coordenador</v>
      </c>
      <c r="AA406" s="17" t="str">
        <f>IFERROR(VLOOKUP(Template!$M406,Template!$D$3:$V$619,MATCH("Layer",Template!$D$2:$V$2,0),FALSE),"NA")</f>
        <v>N2</v>
      </c>
      <c r="AB406" s="21">
        <f>VLOOKUP(Template!$M406,Template!$D$3:$F$619,MATCH("InternalGrade",Template!$D$2:$F$2,0),FALSE)-Template!$F406</f>
        <v>19</v>
      </c>
      <c r="AC406" s="17">
        <f>IF(Template!$AB406&lt;=1, 0.8,IF(Template!$AB406=2,0.4,IF(Template!$AB406=3,0.2,IF(Template!$AB406=4,0.1,IF(Template!$AB406&gt;=5,0.05,"erro")))))</f>
        <v>0.05</v>
      </c>
      <c r="AD406" s="17" t="b">
        <f>Template!$D406=Template!$M406</f>
        <v>0</v>
      </c>
      <c r="AE406" s="12" t="s">
        <v>58</v>
      </c>
    </row>
    <row r="407" ht="15.75" customHeight="1">
      <c r="A407" s="7" t="s">
        <v>190</v>
      </c>
      <c r="B407" s="7" t="s">
        <v>160</v>
      </c>
      <c r="C407" s="7" t="s">
        <v>246</v>
      </c>
      <c r="D407" s="13">
        <v>25248.0</v>
      </c>
      <c r="E407" s="7" t="s">
        <v>193</v>
      </c>
      <c r="F407" s="13"/>
      <c r="G407" s="14" t="s">
        <v>63</v>
      </c>
      <c r="H407" s="7" t="s">
        <v>247</v>
      </c>
      <c r="I407" s="7" t="s">
        <v>248</v>
      </c>
      <c r="J407" s="7" t="s">
        <v>70</v>
      </c>
      <c r="K407" s="15">
        <v>45509.0</v>
      </c>
      <c r="L407" s="15">
        <v>31756.0</v>
      </c>
      <c r="M407" s="13">
        <v>25165.0</v>
      </c>
      <c r="N407" s="7"/>
      <c r="O407" s="7"/>
      <c r="P407" s="7">
        <v>13.33</v>
      </c>
      <c r="Q407" s="7"/>
      <c r="R407" s="20"/>
      <c r="S407" s="7"/>
      <c r="T407" s="20"/>
      <c r="U407" s="16">
        <f>SUM(Template!$N407:$O407)*Template!$P407+Template!$Q407</f>
        <v>0</v>
      </c>
      <c r="V407" s="17" t="str">
        <f>IF(Template!$M407="CONSELHO","N",IF(Template!$AA407="N","N1",IF(Template!$AA407="N1","N2",IF(Template!$AA407="N2","N3",IF(Template!$AA407="N3","N4",IF(Template!$AA407="N4","N5",IF(Template!$AA407="N5","N6",IF(Template!$AA407="N6","N7",IF(Template!$AA407="N7","N8",IF(Template!$AA407="N8","N9",IF(Template!$AA407="N9","N10","NA")))))))))))</f>
        <v>N4</v>
      </c>
      <c r="W407" s="17">
        <f>COUNTIF(Template!$M$3:$M$619,Template!$D407)</f>
        <v>0</v>
      </c>
      <c r="X407" s="17" t="str">
        <f>IF(Template!$F407="","",SUMIF(Template!$M$3:$M$619,Template!$D407,Template!$AC$3:$AC$619))</f>
        <v/>
      </c>
      <c r="Y407" s="17" t="str">
        <f>IFERROR(VLOOKUP(Template!$M407,Template!$D$3:$G$619,MATCH("EmployeeJobTitle",Template!$D$2:$G$2,0),FALSE),"NA")</f>
        <v>GERENTE DE LOJA PL</v>
      </c>
      <c r="Z407" s="17" t="str">
        <f>IFERROR(VLOOKUP(Template!$M407,Template!$D$3:$G$619,MATCH("EmployeeGroup",Template!$D$2:$G$2,0),FALSE),"NA")</f>
        <v>GERENTE</v>
      </c>
      <c r="AA407" s="17" t="str">
        <f>IFERROR(VLOOKUP(Template!$M407,Template!$D$3:$V$619,MATCH("Layer",Template!$D$2:$V$2,0),FALSE),"NA")</f>
        <v>N3</v>
      </c>
      <c r="AB407" s="21">
        <f>VLOOKUP(Template!$M407,Template!$D$3:$F$619,MATCH("InternalGrade",Template!$D$2:$F$2,0),FALSE)-Template!$F407</f>
        <v>0</v>
      </c>
      <c r="AC407" s="17">
        <f>IF(Template!$AB407&lt;=1, 0.8,IF(Template!$AB407=2,0.4,IF(Template!$AB407=3,0.2,IF(Template!$AB407=4,0.1,IF(Template!$AB407&gt;=5,0.05,"erro")))))</f>
        <v>0.8</v>
      </c>
      <c r="AD407" s="17" t="b">
        <f>Template!$D407=Template!$M407</f>
        <v>0</v>
      </c>
      <c r="AE407" s="12" t="s">
        <v>58</v>
      </c>
    </row>
    <row r="408" ht="15.75" customHeight="1">
      <c r="A408" s="7" t="s">
        <v>190</v>
      </c>
      <c r="B408" s="7" t="s">
        <v>160</v>
      </c>
      <c r="C408" s="7" t="s">
        <v>246</v>
      </c>
      <c r="D408" s="13">
        <v>25013.0</v>
      </c>
      <c r="E408" s="7" t="s">
        <v>193</v>
      </c>
      <c r="F408" s="13"/>
      <c r="G408" s="14" t="s">
        <v>63</v>
      </c>
      <c r="H408" s="7" t="s">
        <v>247</v>
      </c>
      <c r="I408" s="7" t="s">
        <v>248</v>
      </c>
      <c r="J408" s="7" t="s">
        <v>70</v>
      </c>
      <c r="K408" s="15">
        <v>45404.0</v>
      </c>
      <c r="L408" s="15">
        <v>28630.0</v>
      </c>
      <c r="M408" s="13">
        <v>25165.0</v>
      </c>
      <c r="N408" s="7"/>
      <c r="O408" s="7"/>
      <c r="P408" s="7">
        <v>13.33</v>
      </c>
      <c r="Q408" s="7"/>
      <c r="R408" s="20"/>
      <c r="S408" s="7"/>
      <c r="T408" s="20"/>
      <c r="U408" s="16">
        <f>SUM(Template!$N408:$O408)*Template!$P408+Template!$Q408</f>
        <v>0</v>
      </c>
      <c r="V408" s="17" t="str">
        <f>IF(Template!$M408="CONSELHO","N",IF(Template!$AA408="N","N1",IF(Template!$AA408="N1","N2",IF(Template!$AA408="N2","N3",IF(Template!$AA408="N3","N4",IF(Template!$AA408="N4","N5",IF(Template!$AA408="N5","N6",IF(Template!$AA408="N6","N7",IF(Template!$AA408="N7","N8",IF(Template!$AA408="N8","N9",IF(Template!$AA408="N9","N10","NA")))))))))))</f>
        <v>N4</v>
      </c>
      <c r="W408" s="17">
        <f>COUNTIF(Template!$M$3:$M$619,Template!$D408)</f>
        <v>0</v>
      </c>
      <c r="X408" s="17" t="str">
        <f>IF(Template!$F408="","",SUMIF(Template!$M$3:$M$619,Template!$D408,Template!$AC$3:$AC$619))</f>
        <v/>
      </c>
      <c r="Y408" s="17" t="str">
        <f>IFERROR(VLOOKUP(Template!$M408,Template!$D$3:$G$619,MATCH("EmployeeJobTitle",Template!$D$2:$G$2,0),FALSE),"NA")</f>
        <v>GERENTE DE LOJA PL</v>
      </c>
      <c r="Z408" s="17" t="str">
        <f>IFERROR(VLOOKUP(Template!$M408,Template!$D$3:$G$619,MATCH("EmployeeGroup",Template!$D$2:$G$2,0),FALSE),"NA")</f>
        <v>GERENTE</v>
      </c>
      <c r="AA408" s="17" t="str">
        <f>IFERROR(VLOOKUP(Template!$M408,Template!$D$3:$V$619,MATCH("Layer",Template!$D$2:$V$2,0),FALSE),"NA")</f>
        <v>N3</v>
      </c>
      <c r="AB408" s="21">
        <f>VLOOKUP(Template!$M408,Template!$D$3:$F$619,MATCH("InternalGrade",Template!$D$2:$F$2,0),FALSE)-Template!$F408</f>
        <v>0</v>
      </c>
      <c r="AC408" s="17">
        <f>IF(Template!$AB408&lt;=1, 0.8,IF(Template!$AB408=2,0.4,IF(Template!$AB408=3,0.2,IF(Template!$AB408=4,0.1,IF(Template!$AB408&gt;=5,0.05,"erro")))))</f>
        <v>0.8</v>
      </c>
      <c r="AD408" s="17" t="b">
        <f>Template!$D408=Template!$M408</f>
        <v>0</v>
      </c>
      <c r="AE408" s="12" t="s">
        <v>58</v>
      </c>
    </row>
    <row r="409" ht="15.75" customHeight="1">
      <c r="A409" s="7" t="s">
        <v>190</v>
      </c>
      <c r="B409" s="7" t="s">
        <v>160</v>
      </c>
      <c r="C409" s="7" t="s">
        <v>246</v>
      </c>
      <c r="D409" s="13">
        <v>25413.0</v>
      </c>
      <c r="E409" s="7" t="s">
        <v>198</v>
      </c>
      <c r="F409" s="13"/>
      <c r="G409" s="14" t="s">
        <v>63</v>
      </c>
      <c r="H409" s="7" t="s">
        <v>247</v>
      </c>
      <c r="I409" s="7" t="s">
        <v>248</v>
      </c>
      <c r="J409" s="7" t="s">
        <v>70</v>
      </c>
      <c r="K409" s="15">
        <v>45566.0</v>
      </c>
      <c r="L409" s="15">
        <v>25267.0</v>
      </c>
      <c r="M409" s="13">
        <v>25165.0</v>
      </c>
      <c r="N409" s="7">
        <v>1450.14</v>
      </c>
      <c r="O409" s="7"/>
      <c r="P409" s="7">
        <v>13.33</v>
      </c>
      <c r="Q409" s="7"/>
      <c r="R409" s="20"/>
      <c r="S409" s="7"/>
      <c r="T409" s="20"/>
      <c r="U409" s="16">
        <f>SUM(Template!$N409:$O409)*Template!$P409+Template!$Q409</f>
        <v>19330.3662</v>
      </c>
      <c r="V409" s="17" t="str">
        <f>IF(Template!$M409="CONSELHO","N",IF(Template!$AA409="N","N1",IF(Template!$AA409="N1","N2",IF(Template!$AA409="N2","N3",IF(Template!$AA409="N3","N4",IF(Template!$AA409="N4","N5",IF(Template!$AA409="N5","N6",IF(Template!$AA409="N6","N7",IF(Template!$AA409="N7","N8",IF(Template!$AA409="N8","N9",IF(Template!$AA409="N9","N10","NA")))))))))))</f>
        <v>N4</v>
      </c>
      <c r="W409" s="17">
        <f>COUNTIF(Template!$M$3:$M$619,Template!$D409)</f>
        <v>0</v>
      </c>
      <c r="X409" s="17" t="str">
        <f>IF(Template!$F409="","",SUMIF(Template!$M$3:$M$619,Template!$D409,Template!$AC$3:$AC$619))</f>
        <v/>
      </c>
      <c r="Y409" s="17" t="str">
        <f>IFERROR(VLOOKUP(Template!$M409,Template!$D$3:$G$619,MATCH("EmployeeJobTitle",Template!$D$2:$G$2,0),FALSE),"NA")</f>
        <v>GERENTE DE LOJA PL</v>
      </c>
      <c r="Z409" s="17" t="str">
        <f>IFERROR(VLOOKUP(Template!$M409,Template!$D$3:$G$619,MATCH("EmployeeGroup",Template!$D$2:$G$2,0),FALSE),"NA")</f>
        <v>GERENTE</v>
      </c>
      <c r="AA409" s="17" t="str">
        <f>IFERROR(VLOOKUP(Template!$M409,Template!$D$3:$V$619,MATCH("Layer",Template!$D$2:$V$2,0),FALSE),"NA")</f>
        <v>N3</v>
      </c>
      <c r="AB409" s="21">
        <f>VLOOKUP(Template!$M409,Template!$D$3:$F$619,MATCH("InternalGrade",Template!$D$2:$F$2,0),FALSE)-Template!$F409</f>
        <v>0</v>
      </c>
      <c r="AC409" s="17">
        <f>IF(Template!$AB409&lt;=1, 0.8,IF(Template!$AB409=2,0.4,IF(Template!$AB409=3,0.2,IF(Template!$AB409=4,0.1,IF(Template!$AB409&gt;=5,0.05,"erro")))))</f>
        <v>0.8</v>
      </c>
      <c r="AD409" s="17" t="b">
        <f>Template!$D409=Template!$M409</f>
        <v>0</v>
      </c>
      <c r="AE409" s="12" t="s">
        <v>58</v>
      </c>
    </row>
    <row r="410" ht="15.75" customHeight="1">
      <c r="A410" s="7" t="s">
        <v>190</v>
      </c>
      <c r="B410" s="7" t="s">
        <v>160</v>
      </c>
      <c r="C410" s="7" t="s">
        <v>246</v>
      </c>
      <c r="D410" s="13">
        <v>17803.0</v>
      </c>
      <c r="E410" s="7" t="s">
        <v>197</v>
      </c>
      <c r="F410" s="13"/>
      <c r="G410" s="22" t="s">
        <v>87</v>
      </c>
      <c r="H410" s="7" t="s">
        <v>247</v>
      </c>
      <c r="I410" s="7" t="s">
        <v>248</v>
      </c>
      <c r="J410" s="7" t="s">
        <v>70</v>
      </c>
      <c r="K410" s="15">
        <v>43682.0</v>
      </c>
      <c r="L410" s="15">
        <v>30345.0</v>
      </c>
      <c r="M410" s="13">
        <v>25165.0</v>
      </c>
      <c r="N410" s="7"/>
      <c r="O410" s="7"/>
      <c r="P410" s="7">
        <v>13.33</v>
      </c>
      <c r="Q410" s="7"/>
      <c r="R410" s="20"/>
      <c r="S410" s="7"/>
      <c r="T410" s="20"/>
      <c r="U410" s="16">
        <f>SUM(Template!$N410:$O410)*Template!$P410+Template!$Q410</f>
        <v>0</v>
      </c>
      <c r="V410" s="17" t="str">
        <f>IF(Template!$M410="CONSELHO","N",IF(Template!$AA410="N","N1",IF(Template!$AA410="N1","N2",IF(Template!$AA410="N2","N3",IF(Template!$AA410="N3","N4",IF(Template!$AA410="N4","N5",IF(Template!$AA410="N5","N6",IF(Template!$AA410="N6","N7",IF(Template!$AA410="N7","N8",IF(Template!$AA410="N8","N9",IF(Template!$AA410="N9","N10","NA")))))))))))</f>
        <v>N4</v>
      </c>
      <c r="W410" s="17">
        <f>COUNTIF(Template!$M$3:$M$619,Template!$D410)</f>
        <v>0</v>
      </c>
      <c r="X410" s="17" t="str">
        <f>IF(Template!$F410="","",SUMIF(Template!$M$3:$M$619,Template!$D410,Template!$AC$3:$AC$619))</f>
        <v/>
      </c>
      <c r="Y410" s="17" t="str">
        <f>IFERROR(VLOOKUP(Template!$M410,Template!$D$3:$G$619,MATCH("EmployeeJobTitle",Template!$D$2:$G$2,0),FALSE),"NA")</f>
        <v>GERENTE DE LOJA PL</v>
      </c>
      <c r="Z410" s="17" t="str">
        <f>IFERROR(VLOOKUP(Template!$M410,Template!$D$3:$G$619,MATCH("EmployeeGroup",Template!$D$2:$G$2,0),FALSE),"NA")</f>
        <v>GERENTE</v>
      </c>
      <c r="AA410" s="17" t="str">
        <f>IFERROR(VLOOKUP(Template!$M410,Template!$D$3:$V$619,MATCH("Layer",Template!$D$2:$V$2,0),FALSE),"NA")</f>
        <v>N3</v>
      </c>
      <c r="AB410" s="21">
        <f>VLOOKUP(Template!$M410,Template!$D$3:$F$619,MATCH("InternalGrade",Template!$D$2:$F$2,0),FALSE)-Template!$F410</f>
        <v>0</v>
      </c>
      <c r="AC410" s="17">
        <f>IF(Template!$AB410&lt;=1, 0.8,IF(Template!$AB410=2,0.4,IF(Template!$AB410=3,0.2,IF(Template!$AB410=4,0.1,IF(Template!$AB410&gt;=5,0.05,"erro")))))</f>
        <v>0.8</v>
      </c>
      <c r="AD410" s="17" t="b">
        <f>Template!$D410=Template!$M410</f>
        <v>0</v>
      </c>
      <c r="AE410" s="12" t="s">
        <v>58</v>
      </c>
    </row>
    <row r="411" ht="15.75" customHeight="1">
      <c r="A411" s="7" t="s">
        <v>190</v>
      </c>
      <c r="B411" s="7" t="s">
        <v>160</v>
      </c>
      <c r="C411" s="7" t="s">
        <v>246</v>
      </c>
      <c r="D411" s="13">
        <v>24644.0</v>
      </c>
      <c r="E411" s="7" t="s">
        <v>196</v>
      </c>
      <c r="F411" s="13"/>
      <c r="G411" s="14" t="s">
        <v>63</v>
      </c>
      <c r="H411" s="7" t="s">
        <v>247</v>
      </c>
      <c r="I411" s="7" t="s">
        <v>248</v>
      </c>
      <c r="J411" s="7" t="s">
        <v>70</v>
      </c>
      <c r="K411" s="15">
        <v>45261.0</v>
      </c>
      <c r="L411" s="15">
        <v>29772.0</v>
      </c>
      <c r="M411" s="13">
        <v>25165.0</v>
      </c>
      <c r="N411" s="7">
        <v>1800.0</v>
      </c>
      <c r="O411" s="7"/>
      <c r="P411" s="7">
        <v>13.33</v>
      </c>
      <c r="Q411" s="7"/>
      <c r="R411" s="20"/>
      <c r="S411" s="7"/>
      <c r="T411" s="20"/>
      <c r="U411" s="16">
        <f>SUM(Template!$N411:$O411)*Template!$P411+Template!$Q411</f>
        <v>23994</v>
      </c>
      <c r="V411" s="17" t="str">
        <f>IF(Template!$M411="CONSELHO","N",IF(Template!$AA411="N","N1",IF(Template!$AA411="N1","N2",IF(Template!$AA411="N2","N3",IF(Template!$AA411="N3","N4",IF(Template!$AA411="N4","N5",IF(Template!$AA411="N5","N6",IF(Template!$AA411="N6","N7",IF(Template!$AA411="N7","N8",IF(Template!$AA411="N8","N9",IF(Template!$AA411="N9","N10","NA")))))))))))</f>
        <v>N4</v>
      </c>
      <c r="W411" s="17">
        <f>COUNTIF(Template!$M$3:$M$619,Template!$D411)</f>
        <v>0</v>
      </c>
      <c r="X411" s="17" t="str">
        <f>IF(Template!$F411="","",SUMIF(Template!$M$3:$M$619,Template!$D411,Template!$AC$3:$AC$619))</f>
        <v/>
      </c>
      <c r="Y411" s="17" t="str">
        <f>IFERROR(VLOOKUP(Template!$M411,Template!$D$3:$G$619,MATCH("EmployeeJobTitle",Template!$D$2:$G$2,0),FALSE),"NA")</f>
        <v>GERENTE DE LOJA PL</v>
      </c>
      <c r="Z411" s="17" t="str">
        <f>IFERROR(VLOOKUP(Template!$M411,Template!$D$3:$G$619,MATCH("EmployeeGroup",Template!$D$2:$G$2,0),FALSE),"NA")</f>
        <v>GERENTE</v>
      </c>
      <c r="AA411" s="17" t="str">
        <f>IFERROR(VLOOKUP(Template!$M411,Template!$D$3:$V$619,MATCH("Layer",Template!$D$2:$V$2,0),FALSE),"NA")</f>
        <v>N3</v>
      </c>
      <c r="AB411" s="21">
        <f>VLOOKUP(Template!$M411,Template!$D$3:$F$619,MATCH("InternalGrade",Template!$D$2:$F$2,0),FALSE)-Template!$F411</f>
        <v>0</v>
      </c>
      <c r="AC411" s="17">
        <f>IF(Template!$AB411&lt;=1, 0.8,IF(Template!$AB411=2,0.4,IF(Template!$AB411=3,0.2,IF(Template!$AB411=4,0.1,IF(Template!$AB411&gt;=5,0.05,"erro")))))</f>
        <v>0.8</v>
      </c>
      <c r="AD411" s="17" t="b">
        <f>Template!$D411=Template!$M411</f>
        <v>0</v>
      </c>
      <c r="AE411" s="12" t="s">
        <v>58</v>
      </c>
    </row>
    <row r="412" ht="15.75" customHeight="1">
      <c r="A412" s="7" t="s">
        <v>190</v>
      </c>
      <c r="B412" s="7" t="s">
        <v>160</v>
      </c>
      <c r="C412" s="7" t="s">
        <v>246</v>
      </c>
      <c r="D412" s="13">
        <v>14997.0</v>
      </c>
      <c r="E412" s="7" t="s">
        <v>193</v>
      </c>
      <c r="F412" s="13"/>
      <c r="G412" s="14" t="s">
        <v>63</v>
      </c>
      <c r="H412" s="7" t="s">
        <v>247</v>
      </c>
      <c r="I412" s="7" t="s">
        <v>248</v>
      </c>
      <c r="J412" s="7" t="s">
        <v>70</v>
      </c>
      <c r="K412" s="15">
        <v>42475.0</v>
      </c>
      <c r="L412" s="15">
        <v>26969.0</v>
      </c>
      <c r="M412" s="13">
        <v>25165.0</v>
      </c>
      <c r="N412" s="7"/>
      <c r="O412" s="7"/>
      <c r="P412" s="7">
        <v>13.33</v>
      </c>
      <c r="Q412" s="7"/>
      <c r="R412" s="20"/>
      <c r="S412" s="7"/>
      <c r="T412" s="20"/>
      <c r="U412" s="16">
        <f>SUM(Template!$N412:$O412)*Template!$P412+Template!$Q412</f>
        <v>0</v>
      </c>
      <c r="V412" s="17" t="str">
        <f>IF(Template!$M412="CONSELHO","N",IF(Template!$AA412="N","N1",IF(Template!$AA412="N1","N2",IF(Template!$AA412="N2","N3",IF(Template!$AA412="N3","N4",IF(Template!$AA412="N4","N5",IF(Template!$AA412="N5","N6",IF(Template!$AA412="N6","N7",IF(Template!$AA412="N7","N8",IF(Template!$AA412="N8","N9",IF(Template!$AA412="N9","N10","NA")))))))))))</f>
        <v>N4</v>
      </c>
      <c r="W412" s="17">
        <f>COUNTIF(Template!$M$3:$M$619,Template!$D412)</f>
        <v>0</v>
      </c>
      <c r="X412" s="17" t="str">
        <f>IF(Template!$F412="","",SUMIF(Template!$M$3:$M$619,Template!$D412,Template!$AC$3:$AC$619))</f>
        <v/>
      </c>
      <c r="Y412" s="17" t="str">
        <f>IFERROR(VLOOKUP(Template!$M412,Template!$D$3:$G$619,MATCH("EmployeeJobTitle",Template!$D$2:$G$2,0),FALSE),"NA")</f>
        <v>GERENTE DE LOJA PL</v>
      </c>
      <c r="Z412" s="17" t="str">
        <f>IFERROR(VLOOKUP(Template!$M412,Template!$D$3:$G$619,MATCH("EmployeeGroup",Template!$D$2:$G$2,0),FALSE),"NA")</f>
        <v>GERENTE</v>
      </c>
      <c r="AA412" s="17" t="str">
        <f>IFERROR(VLOOKUP(Template!$M412,Template!$D$3:$V$619,MATCH("Layer",Template!$D$2:$V$2,0),FALSE),"NA")</f>
        <v>N3</v>
      </c>
      <c r="AB412" s="21">
        <f>VLOOKUP(Template!$M412,Template!$D$3:$F$619,MATCH("InternalGrade",Template!$D$2:$F$2,0),FALSE)-Template!$F412</f>
        <v>0</v>
      </c>
      <c r="AC412" s="17">
        <f>IF(Template!$AB412&lt;=1, 0.8,IF(Template!$AB412=2,0.4,IF(Template!$AB412=3,0.2,IF(Template!$AB412=4,0.1,IF(Template!$AB412&gt;=5,0.05,"erro")))))</f>
        <v>0.8</v>
      </c>
      <c r="AD412" s="17" t="b">
        <f>Template!$D412=Template!$M412</f>
        <v>0</v>
      </c>
      <c r="AE412" s="12" t="s">
        <v>58</v>
      </c>
    </row>
    <row r="413" ht="15.75" customHeight="1">
      <c r="A413" s="7" t="s">
        <v>190</v>
      </c>
      <c r="B413" s="7" t="s">
        <v>160</v>
      </c>
      <c r="C413" s="7" t="s">
        <v>249</v>
      </c>
      <c r="D413" s="13">
        <v>15341.0</v>
      </c>
      <c r="E413" s="7" t="s">
        <v>204</v>
      </c>
      <c r="F413" s="13"/>
      <c r="G413" s="14" t="s">
        <v>63</v>
      </c>
      <c r="H413" s="7" t="s">
        <v>243</v>
      </c>
      <c r="I413" s="7" t="s">
        <v>244</v>
      </c>
      <c r="J413" s="7" t="s">
        <v>70</v>
      </c>
      <c r="K413" s="15">
        <v>42663.0</v>
      </c>
      <c r="L413" s="15">
        <v>33187.0</v>
      </c>
      <c r="M413" s="13">
        <v>16437.0</v>
      </c>
      <c r="N413" s="7"/>
      <c r="O413" s="7"/>
      <c r="P413" s="7">
        <v>13.33</v>
      </c>
      <c r="Q413" s="7"/>
      <c r="R413" s="20"/>
      <c r="S413" s="7"/>
      <c r="T413" s="20"/>
      <c r="U413" s="16">
        <f>SUM(Template!$N413:$O413)*Template!$P413+Template!$Q413</f>
        <v>0</v>
      </c>
      <c r="V413" s="17" t="str">
        <f>IF(Template!$M413="CONSELHO","N",IF(Template!$AA413="N","N1",IF(Template!$AA413="N1","N2",IF(Template!$AA413="N2","N3",IF(Template!$AA413="N3","N4",IF(Template!$AA413="N4","N5",IF(Template!$AA413="N5","N6",IF(Template!$AA413="N6","N7",IF(Template!$AA413="N7","N8",IF(Template!$AA413="N8","N9",IF(Template!$AA413="N9","N10","NA")))))))))))</f>
        <v>N4</v>
      </c>
      <c r="W413" s="17">
        <f>COUNTIF(Template!$M$3:$M$619,Template!$D413)</f>
        <v>0</v>
      </c>
      <c r="X413" s="17" t="str">
        <f>IF(Template!$F413="","",SUMIF(Template!$M$3:$M$619,Template!$D413,Template!$AC$3:$AC$619))</f>
        <v/>
      </c>
      <c r="Y413" s="17" t="str">
        <f>IFERROR(VLOOKUP(Template!$M413,Template!$D$3:$G$619,MATCH("EmployeeJobTitle",Template!$D$2:$G$2,0),FALSE),"NA")</f>
        <v>GERENTE DE LOJA</v>
      </c>
      <c r="Z413" s="17" t="str">
        <f>IFERROR(VLOOKUP(Template!$M413,Template!$D$3:$G$619,MATCH("EmployeeGroup",Template!$D$2:$G$2,0),FALSE),"NA")</f>
        <v>GERENTE</v>
      </c>
      <c r="AA413" s="17" t="str">
        <f>IFERROR(VLOOKUP(Template!$M413,Template!$D$3:$V$619,MATCH("Layer",Template!$D$2:$V$2,0),FALSE),"NA")</f>
        <v>N3</v>
      </c>
      <c r="AB413" s="21">
        <f>VLOOKUP(Template!$M413,Template!$D$3:$F$619,MATCH("InternalGrade",Template!$D$2:$F$2,0),FALSE)-Template!$F413</f>
        <v>0</v>
      </c>
      <c r="AC413" s="17">
        <f>IF(Template!$AB413&lt;=1, 0.8,IF(Template!$AB413=2,0.4,IF(Template!$AB413=3,0.2,IF(Template!$AB413=4,0.1,IF(Template!$AB413&gt;=5,0.05,"erro")))))</f>
        <v>0.8</v>
      </c>
      <c r="AD413" s="17" t="b">
        <f>Template!$D413=Template!$M413</f>
        <v>0</v>
      </c>
      <c r="AE413" s="12" t="s">
        <v>58</v>
      </c>
    </row>
    <row r="414" ht="15.75" customHeight="1">
      <c r="A414" s="7" t="s">
        <v>190</v>
      </c>
      <c r="B414" s="7" t="s">
        <v>160</v>
      </c>
      <c r="C414" s="7" t="s">
        <v>249</v>
      </c>
      <c r="D414" s="13">
        <v>18045.0</v>
      </c>
      <c r="E414" s="7" t="s">
        <v>193</v>
      </c>
      <c r="F414" s="13"/>
      <c r="G414" s="14" t="s">
        <v>63</v>
      </c>
      <c r="H414" s="7" t="s">
        <v>243</v>
      </c>
      <c r="I414" s="7" t="s">
        <v>244</v>
      </c>
      <c r="J414" s="7" t="s">
        <v>70</v>
      </c>
      <c r="K414" s="15">
        <v>43787.0</v>
      </c>
      <c r="L414" s="15">
        <v>33634.0</v>
      </c>
      <c r="M414" s="13">
        <v>16437.0</v>
      </c>
      <c r="N414" s="7"/>
      <c r="O414" s="7"/>
      <c r="P414" s="7">
        <v>13.33</v>
      </c>
      <c r="Q414" s="7"/>
      <c r="R414" s="20"/>
      <c r="S414" s="7"/>
      <c r="T414" s="20"/>
      <c r="U414" s="16">
        <f>SUM(Template!$N414:$O414)*Template!$P414+Template!$Q414</f>
        <v>0</v>
      </c>
      <c r="V414" s="17" t="str">
        <f>IF(Template!$M414="CONSELHO","N",IF(Template!$AA414="N","N1",IF(Template!$AA414="N1","N2",IF(Template!$AA414="N2","N3",IF(Template!$AA414="N3","N4",IF(Template!$AA414="N4","N5",IF(Template!$AA414="N5","N6",IF(Template!$AA414="N6","N7",IF(Template!$AA414="N7","N8",IF(Template!$AA414="N8","N9",IF(Template!$AA414="N9","N10","NA")))))))))))</f>
        <v>N4</v>
      </c>
      <c r="W414" s="17">
        <f>COUNTIF(Template!$M$3:$M$619,Template!$D414)</f>
        <v>0</v>
      </c>
      <c r="X414" s="17" t="str">
        <f>IF(Template!$F414="","",SUMIF(Template!$M$3:$M$619,Template!$D414,Template!$AC$3:$AC$619))</f>
        <v/>
      </c>
      <c r="Y414" s="17" t="str">
        <f>IFERROR(VLOOKUP(Template!$M414,Template!$D$3:$G$619,MATCH("EmployeeJobTitle",Template!$D$2:$G$2,0),FALSE),"NA")</f>
        <v>GERENTE DE LOJA</v>
      </c>
      <c r="Z414" s="17" t="str">
        <f>IFERROR(VLOOKUP(Template!$M414,Template!$D$3:$G$619,MATCH("EmployeeGroup",Template!$D$2:$G$2,0),FALSE),"NA")</f>
        <v>GERENTE</v>
      </c>
      <c r="AA414" s="17" t="str">
        <f>IFERROR(VLOOKUP(Template!$M414,Template!$D$3:$V$619,MATCH("Layer",Template!$D$2:$V$2,0),FALSE),"NA")</f>
        <v>N3</v>
      </c>
      <c r="AB414" s="21">
        <f>VLOOKUP(Template!$M414,Template!$D$3:$F$619,MATCH("InternalGrade",Template!$D$2:$F$2,0),FALSE)-Template!$F414</f>
        <v>0</v>
      </c>
      <c r="AC414" s="17">
        <f>IF(Template!$AB414&lt;=1, 0.8,IF(Template!$AB414=2,0.4,IF(Template!$AB414=3,0.2,IF(Template!$AB414=4,0.1,IF(Template!$AB414&gt;=5,0.05,"erro")))))</f>
        <v>0.8</v>
      </c>
      <c r="AD414" s="17" t="b">
        <f>Template!$D414=Template!$M414</f>
        <v>0</v>
      </c>
      <c r="AE414" s="12" t="s">
        <v>58</v>
      </c>
    </row>
    <row r="415" ht="15.75" customHeight="1">
      <c r="A415" s="7" t="s">
        <v>190</v>
      </c>
      <c r="B415" s="7" t="s">
        <v>160</v>
      </c>
      <c r="C415" s="7" t="s">
        <v>249</v>
      </c>
      <c r="D415" s="13">
        <v>18871.0</v>
      </c>
      <c r="E415" s="7" t="s">
        <v>193</v>
      </c>
      <c r="F415" s="13"/>
      <c r="G415" s="14" t="s">
        <v>63</v>
      </c>
      <c r="H415" s="7" t="s">
        <v>243</v>
      </c>
      <c r="I415" s="7" t="s">
        <v>244</v>
      </c>
      <c r="J415" s="7" t="s">
        <v>70</v>
      </c>
      <c r="K415" s="15">
        <v>44138.0</v>
      </c>
      <c r="L415" s="15">
        <v>34822.0</v>
      </c>
      <c r="M415" s="13">
        <v>16437.0</v>
      </c>
      <c r="N415" s="7"/>
      <c r="O415" s="7"/>
      <c r="P415" s="7">
        <v>13.33</v>
      </c>
      <c r="Q415" s="7"/>
      <c r="R415" s="20"/>
      <c r="S415" s="7"/>
      <c r="T415" s="20"/>
      <c r="U415" s="16">
        <f>SUM(Template!$N415:$O415)*Template!$P415+Template!$Q415</f>
        <v>0</v>
      </c>
      <c r="V415" s="17" t="str">
        <f>IF(Template!$M415="CONSELHO","N",IF(Template!$AA415="N","N1",IF(Template!$AA415="N1","N2",IF(Template!$AA415="N2","N3",IF(Template!$AA415="N3","N4",IF(Template!$AA415="N4","N5",IF(Template!$AA415="N5","N6",IF(Template!$AA415="N6","N7",IF(Template!$AA415="N7","N8",IF(Template!$AA415="N8","N9",IF(Template!$AA415="N9","N10","NA")))))))))))</f>
        <v>N4</v>
      </c>
      <c r="W415" s="17">
        <f>COUNTIF(Template!$M$3:$M$619,Template!$D415)</f>
        <v>0</v>
      </c>
      <c r="X415" s="17" t="str">
        <f>IF(Template!$F415="","",SUMIF(Template!$M$3:$M$619,Template!$D415,Template!$AC$3:$AC$619))</f>
        <v/>
      </c>
      <c r="Y415" s="17" t="str">
        <f>IFERROR(VLOOKUP(Template!$M415,Template!$D$3:$G$619,MATCH("EmployeeJobTitle",Template!$D$2:$G$2,0),FALSE),"NA")</f>
        <v>GERENTE DE LOJA</v>
      </c>
      <c r="Z415" s="17" t="str">
        <f>IFERROR(VLOOKUP(Template!$M415,Template!$D$3:$G$619,MATCH("EmployeeGroup",Template!$D$2:$G$2,0),FALSE),"NA")</f>
        <v>GERENTE</v>
      </c>
      <c r="AA415" s="17" t="str">
        <f>IFERROR(VLOOKUP(Template!$M415,Template!$D$3:$V$619,MATCH("Layer",Template!$D$2:$V$2,0),FALSE),"NA")</f>
        <v>N3</v>
      </c>
      <c r="AB415" s="21">
        <f>VLOOKUP(Template!$M415,Template!$D$3:$F$619,MATCH("InternalGrade",Template!$D$2:$F$2,0),FALSE)-Template!$F415</f>
        <v>0</v>
      </c>
      <c r="AC415" s="17">
        <f>IF(Template!$AB415&lt;=1, 0.8,IF(Template!$AB415=2,0.4,IF(Template!$AB415=3,0.2,IF(Template!$AB415=4,0.1,IF(Template!$AB415&gt;=5,0.05,"erro")))))</f>
        <v>0.8</v>
      </c>
      <c r="AD415" s="17" t="b">
        <f>Template!$D415=Template!$M415</f>
        <v>0</v>
      </c>
      <c r="AE415" s="12" t="s">
        <v>58</v>
      </c>
    </row>
    <row r="416" ht="15.75" customHeight="1">
      <c r="A416" s="7" t="s">
        <v>190</v>
      </c>
      <c r="B416" s="7" t="s">
        <v>160</v>
      </c>
      <c r="C416" s="7" t="s">
        <v>249</v>
      </c>
      <c r="D416" s="13">
        <v>16437.0</v>
      </c>
      <c r="E416" s="7" t="s">
        <v>199</v>
      </c>
      <c r="F416" s="13"/>
      <c r="G416" s="22" t="s">
        <v>200</v>
      </c>
      <c r="H416" s="7" t="s">
        <v>243</v>
      </c>
      <c r="I416" s="7" t="s">
        <v>244</v>
      </c>
      <c r="J416" s="7" t="s">
        <v>70</v>
      </c>
      <c r="K416" s="15">
        <v>43060.0</v>
      </c>
      <c r="L416" s="15">
        <v>32418.0</v>
      </c>
      <c r="M416" s="13">
        <v>12404.0</v>
      </c>
      <c r="N416" s="7">
        <v>4149.0</v>
      </c>
      <c r="O416" s="7"/>
      <c r="P416" s="7">
        <v>13.33</v>
      </c>
      <c r="Q416" s="7"/>
      <c r="R416" s="20"/>
      <c r="S416" s="7"/>
      <c r="T416" s="20"/>
      <c r="U416" s="16">
        <f>SUM(Template!$N416:$O416)*Template!$P416+Template!$Q416</f>
        <v>55306.17</v>
      </c>
      <c r="V416" s="17" t="str">
        <f>IF(Template!$M416="CONSELHO","N",IF(Template!$AA416="N","N1",IF(Template!$AA416="N1","N2",IF(Template!$AA416="N2","N3",IF(Template!$AA416="N3","N4",IF(Template!$AA416="N4","N5",IF(Template!$AA416="N5","N6",IF(Template!$AA416="N6","N7",IF(Template!$AA416="N7","N8",IF(Template!$AA416="N8","N9",IF(Template!$AA416="N9","N10","NA")))))))))))</f>
        <v>N3</v>
      </c>
      <c r="W416" s="17">
        <f>COUNTIF(Template!$M$3:$M$619,Template!$D416)</f>
        <v>6</v>
      </c>
      <c r="X416" s="17" t="str">
        <f>IF(Template!$F416="","",SUMIF(Template!$M$3:$M$619,Template!$D416,Template!$AC$3:$AC$619))</f>
        <v/>
      </c>
      <c r="Y416" s="17" t="str">
        <f>IFERROR(VLOOKUP(Template!$M416,Template!$D$3:$G$619,MATCH("EmployeeJobTitle",Template!$D$2:$G$2,0),FALSE),"NA")</f>
        <v>GERENTE COMERCIAL</v>
      </c>
      <c r="Z416" s="17" t="str">
        <f>IFERROR(VLOOKUP(Template!$M416,Template!$D$3:$G$619,MATCH("EmployeeGroup",Template!$D$2:$G$2,0),FALSE),"NA")</f>
        <v>Coordenador</v>
      </c>
      <c r="AA416" s="17" t="str">
        <f>IFERROR(VLOOKUP(Template!$M416,Template!$D$3:$V$619,MATCH("Layer",Template!$D$2:$V$2,0),FALSE),"NA")</f>
        <v>N2</v>
      </c>
      <c r="AB416" s="21">
        <f>VLOOKUP(Template!$M416,Template!$D$3:$F$619,MATCH("InternalGrade",Template!$D$2:$F$2,0),FALSE)-Template!$F416</f>
        <v>19</v>
      </c>
      <c r="AC416" s="17">
        <f>IF(Template!$AB416&lt;=1, 0.8,IF(Template!$AB416=2,0.4,IF(Template!$AB416=3,0.2,IF(Template!$AB416=4,0.1,IF(Template!$AB416&gt;=5,0.05,"erro")))))</f>
        <v>0.05</v>
      </c>
      <c r="AD416" s="17" t="b">
        <f>Template!$D416=Template!$M416</f>
        <v>0</v>
      </c>
      <c r="AE416" s="12" t="s">
        <v>58</v>
      </c>
    </row>
    <row r="417" ht="15.75" customHeight="1">
      <c r="A417" s="7" t="s">
        <v>190</v>
      </c>
      <c r="B417" s="7" t="s">
        <v>160</v>
      </c>
      <c r="C417" s="7" t="s">
        <v>249</v>
      </c>
      <c r="D417" s="13">
        <v>25059.0</v>
      </c>
      <c r="E417" s="7" t="s">
        <v>193</v>
      </c>
      <c r="F417" s="13"/>
      <c r="G417" s="14" t="s">
        <v>63</v>
      </c>
      <c r="H417" s="7" t="s">
        <v>243</v>
      </c>
      <c r="I417" s="7" t="s">
        <v>244</v>
      </c>
      <c r="J417" s="7" t="s">
        <v>70</v>
      </c>
      <c r="K417" s="15">
        <v>45425.0</v>
      </c>
      <c r="L417" s="15">
        <v>33611.0</v>
      </c>
      <c r="M417" s="13">
        <v>16437.0</v>
      </c>
      <c r="N417" s="7"/>
      <c r="O417" s="7"/>
      <c r="P417" s="7">
        <v>13.33</v>
      </c>
      <c r="Q417" s="7"/>
      <c r="R417" s="20"/>
      <c r="S417" s="7"/>
      <c r="T417" s="20"/>
      <c r="U417" s="16">
        <f>SUM(Template!$N417:$O417)*Template!$P417+Template!$Q417</f>
        <v>0</v>
      </c>
      <c r="V417" s="17" t="str">
        <f>IF(Template!$M417="CONSELHO","N",IF(Template!$AA417="N","N1",IF(Template!$AA417="N1","N2",IF(Template!$AA417="N2","N3",IF(Template!$AA417="N3","N4",IF(Template!$AA417="N4","N5",IF(Template!$AA417="N5","N6",IF(Template!$AA417="N6","N7",IF(Template!$AA417="N7","N8",IF(Template!$AA417="N8","N9",IF(Template!$AA417="N9","N10","NA")))))))))))</f>
        <v>N4</v>
      </c>
      <c r="W417" s="17">
        <f>COUNTIF(Template!$M$3:$M$619,Template!$D417)</f>
        <v>0</v>
      </c>
      <c r="X417" s="17" t="str">
        <f>IF(Template!$F417="","",SUMIF(Template!$M$3:$M$619,Template!$D417,Template!$AC$3:$AC$619))</f>
        <v/>
      </c>
      <c r="Y417" s="17" t="str">
        <f>IFERROR(VLOOKUP(Template!$M417,Template!$D$3:$G$619,MATCH("EmployeeJobTitle",Template!$D$2:$G$2,0),FALSE),"NA")</f>
        <v>GERENTE DE LOJA</v>
      </c>
      <c r="Z417" s="17" t="str">
        <f>IFERROR(VLOOKUP(Template!$M417,Template!$D$3:$G$619,MATCH("EmployeeGroup",Template!$D$2:$G$2,0),FALSE),"NA")</f>
        <v>GERENTE</v>
      </c>
      <c r="AA417" s="17" t="str">
        <f>IFERROR(VLOOKUP(Template!$M417,Template!$D$3:$V$619,MATCH("Layer",Template!$D$2:$V$2,0),FALSE),"NA")</f>
        <v>N3</v>
      </c>
      <c r="AB417" s="21">
        <f>VLOOKUP(Template!$M417,Template!$D$3:$F$619,MATCH("InternalGrade",Template!$D$2:$F$2,0),FALSE)-Template!$F417</f>
        <v>0</v>
      </c>
      <c r="AC417" s="17">
        <f>IF(Template!$AB417&lt;=1, 0.8,IF(Template!$AB417=2,0.4,IF(Template!$AB417=3,0.2,IF(Template!$AB417=4,0.1,IF(Template!$AB417&gt;=5,0.05,"erro")))))</f>
        <v>0.8</v>
      </c>
      <c r="AD417" s="17" t="b">
        <f>Template!$D417=Template!$M417</f>
        <v>0</v>
      </c>
      <c r="AE417" s="12" t="s">
        <v>58</v>
      </c>
    </row>
    <row r="418" ht="15.75" customHeight="1">
      <c r="A418" s="7" t="s">
        <v>190</v>
      </c>
      <c r="B418" s="7" t="s">
        <v>160</v>
      </c>
      <c r="C418" s="7" t="s">
        <v>249</v>
      </c>
      <c r="D418" s="13">
        <v>24560.0</v>
      </c>
      <c r="E418" s="7" t="s">
        <v>196</v>
      </c>
      <c r="F418" s="13"/>
      <c r="G418" s="14" t="s">
        <v>63</v>
      </c>
      <c r="H418" s="7" t="s">
        <v>243</v>
      </c>
      <c r="I418" s="7" t="s">
        <v>244</v>
      </c>
      <c r="J418" s="7" t="s">
        <v>70</v>
      </c>
      <c r="K418" s="15">
        <v>45236.0</v>
      </c>
      <c r="L418" s="15">
        <v>37234.0</v>
      </c>
      <c r="M418" s="13">
        <v>16437.0</v>
      </c>
      <c r="N418" s="7">
        <v>1573.0</v>
      </c>
      <c r="O418" s="7"/>
      <c r="P418" s="7">
        <v>13.33</v>
      </c>
      <c r="Q418" s="7"/>
      <c r="R418" s="20"/>
      <c r="S418" s="7"/>
      <c r="T418" s="20"/>
      <c r="U418" s="16">
        <f>SUM(Template!$N418:$O418)*Template!$P418+Template!$Q418</f>
        <v>20968.09</v>
      </c>
      <c r="V418" s="17" t="str">
        <f>IF(Template!$M418="CONSELHO","N",IF(Template!$AA418="N","N1",IF(Template!$AA418="N1","N2",IF(Template!$AA418="N2","N3",IF(Template!$AA418="N3","N4",IF(Template!$AA418="N4","N5",IF(Template!$AA418="N5","N6",IF(Template!$AA418="N6","N7",IF(Template!$AA418="N7","N8",IF(Template!$AA418="N8","N9",IF(Template!$AA418="N9","N10","NA")))))))))))</f>
        <v>N4</v>
      </c>
      <c r="W418" s="17">
        <f>COUNTIF(Template!$M$3:$M$619,Template!$D418)</f>
        <v>0</v>
      </c>
      <c r="X418" s="17" t="str">
        <f>IF(Template!$F418="","",SUMIF(Template!$M$3:$M$619,Template!$D418,Template!$AC$3:$AC$619))</f>
        <v/>
      </c>
      <c r="Y418" s="17" t="str">
        <f>IFERROR(VLOOKUP(Template!$M418,Template!$D$3:$G$619,MATCH("EmployeeJobTitle",Template!$D$2:$G$2,0),FALSE),"NA")</f>
        <v>GERENTE DE LOJA</v>
      </c>
      <c r="Z418" s="17" t="str">
        <f>IFERROR(VLOOKUP(Template!$M418,Template!$D$3:$G$619,MATCH("EmployeeGroup",Template!$D$2:$G$2,0),FALSE),"NA")</f>
        <v>GERENTE</v>
      </c>
      <c r="AA418" s="17" t="str">
        <f>IFERROR(VLOOKUP(Template!$M418,Template!$D$3:$V$619,MATCH("Layer",Template!$D$2:$V$2,0),FALSE),"NA")</f>
        <v>N3</v>
      </c>
      <c r="AB418" s="21">
        <f>VLOOKUP(Template!$M418,Template!$D$3:$F$619,MATCH("InternalGrade",Template!$D$2:$F$2,0),FALSE)-Template!$F418</f>
        <v>0</v>
      </c>
      <c r="AC418" s="17">
        <f>IF(Template!$AB418&lt;=1, 0.8,IF(Template!$AB418=2,0.4,IF(Template!$AB418=3,0.2,IF(Template!$AB418=4,0.1,IF(Template!$AB418&gt;=5,0.05,"erro")))))</f>
        <v>0.8</v>
      </c>
      <c r="AD418" s="17" t="b">
        <f>Template!$D418=Template!$M418</f>
        <v>0</v>
      </c>
      <c r="AE418" s="12" t="s">
        <v>58</v>
      </c>
    </row>
    <row r="419" ht="15.75" customHeight="1">
      <c r="A419" s="7" t="s">
        <v>190</v>
      </c>
      <c r="B419" s="7" t="s">
        <v>160</v>
      </c>
      <c r="C419" s="7" t="s">
        <v>249</v>
      </c>
      <c r="D419" s="13">
        <v>19566.0</v>
      </c>
      <c r="E419" s="7" t="s">
        <v>203</v>
      </c>
      <c r="F419" s="13"/>
      <c r="G419" s="14" t="s">
        <v>63</v>
      </c>
      <c r="H419" s="7" t="s">
        <v>243</v>
      </c>
      <c r="I419" s="7" t="s">
        <v>244</v>
      </c>
      <c r="J419" s="7" t="s">
        <v>70</v>
      </c>
      <c r="K419" s="15">
        <v>44337.0</v>
      </c>
      <c r="L419" s="15">
        <v>36264.0</v>
      </c>
      <c r="M419" s="13">
        <v>16437.0</v>
      </c>
      <c r="N419" s="7"/>
      <c r="O419" s="7"/>
      <c r="P419" s="7">
        <v>13.33</v>
      </c>
      <c r="Q419" s="7"/>
      <c r="R419" s="20"/>
      <c r="S419" s="7"/>
      <c r="T419" s="20"/>
      <c r="U419" s="16">
        <f>SUM(Template!$N419:$O419)*Template!$P419+Template!$Q419</f>
        <v>0</v>
      </c>
      <c r="V419" s="17" t="str">
        <f>IF(Template!$M419="CONSELHO","N",IF(Template!$AA419="N","N1",IF(Template!$AA419="N1","N2",IF(Template!$AA419="N2","N3",IF(Template!$AA419="N3","N4",IF(Template!$AA419="N4","N5",IF(Template!$AA419="N5","N6",IF(Template!$AA419="N6","N7",IF(Template!$AA419="N7","N8",IF(Template!$AA419="N8","N9",IF(Template!$AA419="N9","N10","NA")))))))))))</f>
        <v>N4</v>
      </c>
      <c r="W419" s="17">
        <f>COUNTIF(Template!$M$3:$M$619,Template!$D419)</f>
        <v>0</v>
      </c>
      <c r="X419" s="17" t="str">
        <f>IF(Template!$F419="","",SUMIF(Template!$M$3:$M$619,Template!$D419,Template!$AC$3:$AC$619))</f>
        <v/>
      </c>
      <c r="Y419" s="17" t="str">
        <f>IFERROR(VLOOKUP(Template!$M419,Template!$D$3:$G$619,MATCH("EmployeeJobTitle",Template!$D$2:$G$2,0),FALSE),"NA")</f>
        <v>GERENTE DE LOJA</v>
      </c>
      <c r="Z419" s="17" t="str">
        <f>IFERROR(VLOOKUP(Template!$M419,Template!$D$3:$G$619,MATCH("EmployeeGroup",Template!$D$2:$G$2,0),FALSE),"NA")</f>
        <v>GERENTE</v>
      </c>
      <c r="AA419" s="17" t="str">
        <f>IFERROR(VLOOKUP(Template!$M419,Template!$D$3:$V$619,MATCH("Layer",Template!$D$2:$V$2,0),FALSE),"NA")</f>
        <v>N3</v>
      </c>
      <c r="AB419" s="21">
        <f>VLOOKUP(Template!$M419,Template!$D$3:$F$619,MATCH("InternalGrade",Template!$D$2:$F$2,0),FALSE)-Template!$F419</f>
        <v>0</v>
      </c>
      <c r="AC419" s="17">
        <f>IF(Template!$AB419&lt;=1, 0.8,IF(Template!$AB419=2,0.4,IF(Template!$AB419=3,0.2,IF(Template!$AB419=4,0.1,IF(Template!$AB419&gt;=5,0.05,"erro")))))</f>
        <v>0.8</v>
      </c>
      <c r="AD419" s="17" t="b">
        <f>Template!$D419=Template!$M419</f>
        <v>0</v>
      </c>
      <c r="AE419" s="12" t="s">
        <v>58</v>
      </c>
    </row>
    <row r="420" ht="15.75" customHeight="1">
      <c r="A420" s="7" t="s">
        <v>190</v>
      </c>
      <c r="B420" s="7" t="s">
        <v>209</v>
      </c>
      <c r="C420" s="7" t="s">
        <v>250</v>
      </c>
      <c r="D420" s="13">
        <v>22332.0</v>
      </c>
      <c r="E420" s="7" t="s">
        <v>193</v>
      </c>
      <c r="F420" s="13"/>
      <c r="G420" s="14" t="s">
        <v>63</v>
      </c>
      <c r="H420" s="7" t="s">
        <v>64</v>
      </c>
      <c r="I420" s="7" t="s">
        <v>65</v>
      </c>
      <c r="J420" s="7" t="s">
        <v>70</v>
      </c>
      <c r="K420" s="15">
        <v>44866.0</v>
      </c>
      <c r="L420" s="15">
        <v>32418.0</v>
      </c>
      <c r="M420" s="13">
        <v>23993.0</v>
      </c>
      <c r="N420" s="7"/>
      <c r="O420" s="7"/>
      <c r="P420" s="7">
        <v>13.33</v>
      </c>
      <c r="Q420" s="7"/>
      <c r="R420" s="20"/>
      <c r="S420" s="7"/>
      <c r="T420" s="20"/>
      <c r="U420" s="16">
        <f>SUM(Template!$N420:$O420)*Template!$P420+Template!$Q420</f>
        <v>0</v>
      </c>
      <c r="V420" s="17" t="str">
        <f>IF(Template!$M420="CONSELHO","N",IF(Template!$AA420="N","N1",IF(Template!$AA420="N1","N2",IF(Template!$AA420="N2","N3",IF(Template!$AA420="N3","N4",IF(Template!$AA420="N4","N5",IF(Template!$AA420="N5","N6",IF(Template!$AA420="N6","N7",IF(Template!$AA420="N7","N8",IF(Template!$AA420="N8","N9",IF(Template!$AA420="N9","N10","NA")))))))))))</f>
        <v>N4</v>
      </c>
      <c r="W420" s="17">
        <f>COUNTIF(Template!$M$3:$M$619,Template!$D420)</f>
        <v>0</v>
      </c>
      <c r="X420" s="17" t="str">
        <f>IF(Template!$F420="","",SUMIF(Template!$M$3:$M$619,Template!$D420,Template!$AC$3:$AC$619))</f>
        <v/>
      </c>
      <c r="Y420" s="17" t="str">
        <f>IFERROR(VLOOKUP(Template!$M420,Template!$D$3:$G$619,MATCH("EmployeeJobTitle",Template!$D$2:$G$2,0),FALSE),"NA")</f>
        <v>GERENTE DE LOJA</v>
      </c>
      <c r="Z420" s="17" t="str">
        <f>IFERROR(VLOOKUP(Template!$M420,Template!$D$3:$G$619,MATCH("EmployeeGroup",Template!$D$2:$G$2,0),FALSE),"NA")</f>
        <v>GERENTE</v>
      </c>
      <c r="AA420" s="17" t="str">
        <f>IFERROR(VLOOKUP(Template!$M420,Template!$D$3:$V$619,MATCH("Layer",Template!$D$2:$V$2,0),FALSE),"NA")</f>
        <v>N3</v>
      </c>
      <c r="AB420" s="21">
        <f>VLOOKUP(Template!$M420,Template!$D$3:$F$619,MATCH("InternalGrade",Template!$D$2:$F$2,0),FALSE)-Template!$F420</f>
        <v>0</v>
      </c>
      <c r="AC420" s="17">
        <f>IF(Template!$AB420&lt;=1, 0.8,IF(Template!$AB420=2,0.4,IF(Template!$AB420=3,0.2,IF(Template!$AB420=4,0.1,IF(Template!$AB420&gt;=5,0.05,"erro")))))</f>
        <v>0.8</v>
      </c>
      <c r="AD420" s="17" t="b">
        <f>Template!$D420=Template!$M420</f>
        <v>0</v>
      </c>
      <c r="AE420" s="12" t="s">
        <v>58</v>
      </c>
    </row>
    <row r="421" ht="15.75" customHeight="1">
      <c r="A421" s="7" t="s">
        <v>190</v>
      </c>
      <c r="B421" s="7" t="s">
        <v>209</v>
      </c>
      <c r="C421" s="7" t="s">
        <v>250</v>
      </c>
      <c r="D421" s="13">
        <v>25346.0</v>
      </c>
      <c r="E421" s="7" t="s">
        <v>193</v>
      </c>
      <c r="F421" s="13"/>
      <c r="G421" s="14" t="s">
        <v>63</v>
      </c>
      <c r="H421" s="7" t="s">
        <v>64</v>
      </c>
      <c r="I421" s="7" t="s">
        <v>65</v>
      </c>
      <c r="J421" s="7" t="s">
        <v>70</v>
      </c>
      <c r="K421" s="15">
        <v>45537.0</v>
      </c>
      <c r="L421" s="15">
        <v>28045.0</v>
      </c>
      <c r="M421" s="13">
        <v>23993.0</v>
      </c>
      <c r="N421" s="7"/>
      <c r="O421" s="7"/>
      <c r="P421" s="7">
        <v>13.33</v>
      </c>
      <c r="Q421" s="7"/>
      <c r="R421" s="20"/>
      <c r="S421" s="7"/>
      <c r="T421" s="20"/>
      <c r="U421" s="16">
        <f>SUM(Template!$N421:$O421)*Template!$P421+Template!$Q421</f>
        <v>0</v>
      </c>
      <c r="V421" s="17" t="str">
        <f>IF(Template!$M421="CONSELHO","N",IF(Template!$AA421="N","N1",IF(Template!$AA421="N1","N2",IF(Template!$AA421="N2","N3",IF(Template!$AA421="N3","N4",IF(Template!$AA421="N4","N5",IF(Template!$AA421="N5","N6",IF(Template!$AA421="N6","N7",IF(Template!$AA421="N7","N8",IF(Template!$AA421="N8","N9",IF(Template!$AA421="N9","N10","NA")))))))))))</f>
        <v>N4</v>
      </c>
      <c r="W421" s="17">
        <f>COUNTIF(Template!$M$3:$M$619,Template!$D421)</f>
        <v>0</v>
      </c>
      <c r="X421" s="17" t="str">
        <f>IF(Template!$F421="","",SUMIF(Template!$M$3:$M$619,Template!$D421,Template!$AC$3:$AC$619))</f>
        <v/>
      </c>
      <c r="Y421" s="17" t="str">
        <f>IFERROR(VLOOKUP(Template!$M421,Template!$D$3:$G$619,MATCH("EmployeeJobTitle",Template!$D$2:$G$2,0),FALSE),"NA")</f>
        <v>GERENTE DE LOJA</v>
      </c>
      <c r="Z421" s="17" t="str">
        <f>IFERROR(VLOOKUP(Template!$M421,Template!$D$3:$G$619,MATCH("EmployeeGroup",Template!$D$2:$G$2,0),FALSE),"NA")</f>
        <v>GERENTE</v>
      </c>
      <c r="AA421" s="17" t="str">
        <f>IFERROR(VLOOKUP(Template!$M421,Template!$D$3:$V$619,MATCH("Layer",Template!$D$2:$V$2,0),FALSE),"NA")</f>
        <v>N3</v>
      </c>
      <c r="AB421" s="21">
        <f>VLOOKUP(Template!$M421,Template!$D$3:$F$619,MATCH("InternalGrade",Template!$D$2:$F$2,0),FALSE)-Template!$F421</f>
        <v>0</v>
      </c>
      <c r="AC421" s="17">
        <f>IF(Template!$AB421&lt;=1, 0.8,IF(Template!$AB421=2,0.4,IF(Template!$AB421=3,0.2,IF(Template!$AB421=4,0.1,IF(Template!$AB421&gt;=5,0.05,"erro")))))</f>
        <v>0.8</v>
      </c>
      <c r="AD421" s="17" t="b">
        <f>Template!$D421=Template!$M421</f>
        <v>0</v>
      </c>
      <c r="AE421" s="12" t="s">
        <v>58</v>
      </c>
    </row>
    <row r="422" ht="15.75" customHeight="1">
      <c r="A422" s="7" t="s">
        <v>190</v>
      </c>
      <c r="B422" s="7" t="s">
        <v>209</v>
      </c>
      <c r="C422" s="7" t="s">
        <v>250</v>
      </c>
      <c r="D422" s="13">
        <v>25127.0</v>
      </c>
      <c r="E422" s="7" t="s">
        <v>193</v>
      </c>
      <c r="F422" s="13"/>
      <c r="G422" s="14" t="s">
        <v>63</v>
      </c>
      <c r="H422" s="7" t="s">
        <v>64</v>
      </c>
      <c r="I422" s="7" t="s">
        <v>65</v>
      </c>
      <c r="J422" s="7" t="s">
        <v>70</v>
      </c>
      <c r="K422" s="15">
        <v>45460.0</v>
      </c>
      <c r="L422" s="15">
        <v>29964.0</v>
      </c>
      <c r="M422" s="13">
        <v>23993.0</v>
      </c>
      <c r="N422" s="7"/>
      <c r="O422" s="7"/>
      <c r="P422" s="7">
        <v>13.33</v>
      </c>
      <c r="Q422" s="7"/>
      <c r="R422" s="20"/>
      <c r="S422" s="7"/>
      <c r="T422" s="20"/>
      <c r="U422" s="16">
        <f>SUM(Template!$N422:$O422)*Template!$P422+Template!$Q422</f>
        <v>0</v>
      </c>
      <c r="V422" s="17" t="str">
        <f>IF(Template!$M422="CONSELHO","N",IF(Template!$AA422="N","N1",IF(Template!$AA422="N1","N2",IF(Template!$AA422="N2","N3",IF(Template!$AA422="N3","N4",IF(Template!$AA422="N4","N5",IF(Template!$AA422="N5","N6",IF(Template!$AA422="N6","N7",IF(Template!$AA422="N7","N8",IF(Template!$AA422="N8","N9",IF(Template!$AA422="N9","N10","NA")))))))))))</f>
        <v>N4</v>
      </c>
      <c r="W422" s="17">
        <f>COUNTIF(Template!$M$3:$M$619,Template!$D422)</f>
        <v>0</v>
      </c>
      <c r="X422" s="17" t="str">
        <f>IF(Template!$F422="","",SUMIF(Template!$M$3:$M$619,Template!$D422,Template!$AC$3:$AC$619))</f>
        <v/>
      </c>
      <c r="Y422" s="17" t="str">
        <f>IFERROR(VLOOKUP(Template!$M422,Template!$D$3:$G$619,MATCH("EmployeeJobTitle",Template!$D$2:$G$2,0),FALSE),"NA")</f>
        <v>GERENTE DE LOJA</v>
      </c>
      <c r="Z422" s="17" t="str">
        <f>IFERROR(VLOOKUP(Template!$M422,Template!$D$3:$G$619,MATCH("EmployeeGroup",Template!$D$2:$G$2,0),FALSE),"NA")</f>
        <v>GERENTE</v>
      </c>
      <c r="AA422" s="17" t="str">
        <f>IFERROR(VLOOKUP(Template!$M422,Template!$D$3:$V$619,MATCH("Layer",Template!$D$2:$V$2,0),FALSE),"NA")</f>
        <v>N3</v>
      </c>
      <c r="AB422" s="21">
        <f>VLOOKUP(Template!$M422,Template!$D$3:$F$619,MATCH("InternalGrade",Template!$D$2:$F$2,0),FALSE)-Template!$F422</f>
        <v>0</v>
      </c>
      <c r="AC422" s="17">
        <f>IF(Template!$AB422&lt;=1, 0.8,IF(Template!$AB422=2,0.4,IF(Template!$AB422=3,0.2,IF(Template!$AB422=4,0.1,IF(Template!$AB422&gt;=5,0.05,"erro")))))</f>
        <v>0.8</v>
      </c>
      <c r="AD422" s="17" t="b">
        <f>Template!$D422=Template!$M422</f>
        <v>0</v>
      </c>
      <c r="AE422" s="12" t="s">
        <v>58</v>
      </c>
    </row>
    <row r="423" ht="15.75" customHeight="1">
      <c r="A423" s="7" t="s">
        <v>190</v>
      </c>
      <c r="B423" s="7" t="s">
        <v>209</v>
      </c>
      <c r="C423" s="7" t="s">
        <v>250</v>
      </c>
      <c r="D423" s="13">
        <v>25155.0</v>
      </c>
      <c r="E423" s="7" t="s">
        <v>198</v>
      </c>
      <c r="F423" s="13"/>
      <c r="G423" s="14" t="s">
        <v>63</v>
      </c>
      <c r="H423" s="7" t="s">
        <v>64</v>
      </c>
      <c r="I423" s="7" t="s">
        <v>65</v>
      </c>
      <c r="J423" s="7" t="s">
        <v>70</v>
      </c>
      <c r="K423" s="15">
        <v>45474.0</v>
      </c>
      <c r="L423" s="15">
        <v>35875.0</v>
      </c>
      <c r="M423" s="13">
        <v>23993.0</v>
      </c>
      <c r="N423" s="7">
        <v>1700.0</v>
      </c>
      <c r="O423" s="7"/>
      <c r="P423" s="7">
        <v>13.33</v>
      </c>
      <c r="Q423" s="7"/>
      <c r="R423" s="20"/>
      <c r="S423" s="7"/>
      <c r="T423" s="20"/>
      <c r="U423" s="16">
        <f>SUM(Template!$N423:$O423)*Template!$P423+Template!$Q423</f>
        <v>22661</v>
      </c>
      <c r="V423" s="17" t="str">
        <f>IF(Template!$M423="CONSELHO","N",IF(Template!$AA423="N","N1",IF(Template!$AA423="N1","N2",IF(Template!$AA423="N2","N3",IF(Template!$AA423="N3","N4",IF(Template!$AA423="N4","N5",IF(Template!$AA423="N5","N6",IF(Template!$AA423="N6","N7",IF(Template!$AA423="N7","N8",IF(Template!$AA423="N8","N9",IF(Template!$AA423="N9","N10","NA")))))))))))</f>
        <v>N4</v>
      </c>
      <c r="W423" s="17">
        <f>COUNTIF(Template!$M$3:$M$619,Template!$D423)</f>
        <v>0</v>
      </c>
      <c r="X423" s="17" t="str">
        <f>IF(Template!$F423="","",SUMIF(Template!$M$3:$M$619,Template!$D423,Template!$AC$3:$AC$619))</f>
        <v/>
      </c>
      <c r="Y423" s="17" t="str">
        <f>IFERROR(VLOOKUP(Template!$M423,Template!$D$3:$G$619,MATCH("EmployeeJobTitle",Template!$D$2:$G$2,0),FALSE),"NA")</f>
        <v>GERENTE DE LOJA</v>
      </c>
      <c r="Z423" s="17" t="str">
        <f>IFERROR(VLOOKUP(Template!$M423,Template!$D$3:$G$619,MATCH("EmployeeGroup",Template!$D$2:$G$2,0),FALSE),"NA")</f>
        <v>GERENTE</v>
      </c>
      <c r="AA423" s="17" t="str">
        <f>IFERROR(VLOOKUP(Template!$M423,Template!$D$3:$V$619,MATCH("Layer",Template!$D$2:$V$2,0),FALSE),"NA")</f>
        <v>N3</v>
      </c>
      <c r="AB423" s="21">
        <f>VLOOKUP(Template!$M423,Template!$D$3:$F$619,MATCH("InternalGrade",Template!$D$2:$F$2,0),FALSE)-Template!$F423</f>
        <v>0</v>
      </c>
      <c r="AC423" s="17">
        <f>IF(Template!$AB423&lt;=1, 0.8,IF(Template!$AB423=2,0.4,IF(Template!$AB423=3,0.2,IF(Template!$AB423=4,0.1,IF(Template!$AB423&gt;=5,0.05,"erro")))))</f>
        <v>0.8</v>
      </c>
      <c r="AD423" s="17" t="b">
        <f>Template!$D423=Template!$M423</f>
        <v>0</v>
      </c>
      <c r="AE423" s="12" t="s">
        <v>58</v>
      </c>
    </row>
    <row r="424" ht="15.75" customHeight="1">
      <c r="A424" s="7" t="s">
        <v>190</v>
      </c>
      <c r="B424" s="7" t="s">
        <v>209</v>
      </c>
      <c r="C424" s="7" t="s">
        <v>250</v>
      </c>
      <c r="D424" s="13">
        <v>23975.0</v>
      </c>
      <c r="E424" s="7" t="s">
        <v>193</v>
      </c>
      <c r="F424" s="13"/>
      <c r="G424" s="14" t="s">
        <v>63</v>
      </c>
      <c r="H424" s="7" t="s">
        <v>64</v>
      </c>
      <c r="I424" s="7" t="s">
        <v>65</v>
      </c>
      <c r="J424" s="7" t="s">
        <v>70</v>
      </c>
      <c r="K424" s="15">
        <v>45036.0</v>
      </c>
      <c r="L424" s="15">
        <v>31976.0</v>
      </c>
      <c r="M424" s="13">
        <v>23993.0</v>
      </c>
      <c r="N424" s="7"/>
      <c r="O424" s="7"/>
      <c r="P424" s="7">
        <v>13.33</v>
      </c>
      <c r="Q424" s="7"/>
      <c r="R424" s="20"/>
      <c r="S424" s="7"/>
      <c r="T424" s="20"/>
      <c r="U424" s="16">
        <f>SUM(Template!$N424:$O424)*Template!$P424+Template!$Q424</f>
        <v>0</v>
      </c>
      <c r="V424" s="17" t="str">
        <f>IF(Template!$M424="CONSELHO","N",IF(Template!$AA424="N","N1",IF(Template!$AA424="N1","N2",IF(Template!$AA424="N2","N3",IF(Template!$AA424="N3","N4",IF(Template!$AA424="N4","N5",IF(Template!$AA424="N5","N6",IF(Template!$AA424="N6","N7",IF(Template!$AA424="N7","N8",IF(Template!$AA424="N8","N9",IF(Template!$AA424="N9","N10","NA")))))))))))</f>
        <v>N4</v>
      </c>
      <c r="W424" s="17">
        <f>COUNTIF(Template!$M$3:$M$619,Template!$D424)</f>
        <v>0</v>
      </c>
      <c r="X424" s="17" t="str">
        <f>IF(Template!$F424="","",SUMIF(Template!$M$3:$M$619,Template!$D424,Template!$AC$3:$AC$619))</f>
        <v/>
      </c>
      <c r="Y424" s="17" t="str">
        <f>IFERROR(VLOOKUP(Template!$M424,Template!$D$3:$G$619,MATCH("EmployeeJobTitle",Template!$D$2:$G$2,0),FALSE),"NA")</f>
        <v>GERENTE DE LOJA</v>
      </c>
      <c r="Z424" s="17" t="str">
        <f>IFERROR(VLOOKUP(Template!$M424,Template!$D$3:$G$619,MATCH("EmployeeGroup",Template!$D$2:$G$2,0),FALSE),"NA")</f>
        <v>GERENTE</v>
      </c>
      <c r="AA424" s="17" t="str">
        <f>IFERROR(VLOOKUP(Template!$M424,Template!$D$3:$V$619,MATCH("Layer",Template!$D$2:$V$2,0),FALSE),"NA")</f>
        <v>N3</v>
      </c>
      <c r="AB424" s="21">
        <f>VLOOKUP(Template!$M424,Template!$D$3:$F$619,MATCH("InternalGrade",Template!$D$2:$F$2,0),FALSE)-Template!$F424</f>
        <v>0</v>
      </c>
      <c r="AC424" s="17">
        <f>IF(Template!$AB424&lt;=1, 0.8,IF(Template!$AB424=2,0.4,IF(Template!$AB424=3,0.2,IF(Template!$AB424=4,0.1,IF(Template!$AB424&gt;=5,0.05,"erro")))))</f>
        <v>0.8</v>
      </c>
      <c r="AD424" s="17" t="b">
        <f>Template!$D424=Template!$M424</f>
        <v>0</v>
      </c>
      <c r="AE424" s="12" t="s">
        <v>58</v>
      </c>
    </row>
    <row r="425" ht="15.75" customHeight="1">
      <c r="A425" s="7" t="s">
        <v>190</v>
      </c>
      <c r="B425" s="7" t="s">
        <v>209</v>
      </c>
      <c r="C425" s="7" t="s">
        <v>250</v>
      </c>
      <c r="D425" s="13">
        <v>23993.0</v>
      </c>
      <c r="E425" s="7" t="s">
        <v>199</v>
      </c>
      <c r="F425" s="13"/>
      <c r="G425" s="22" t="s">
        <v>200</v>
      </c>
      <c r="H425" s="7" t="s">
        <v>64</v>
      </c>
      <c r="I425" s="7" t="s">
        <v>65</v>
      </c>
      <c r="J425" s="7" t="s">
        <v>70</v>
      </c>
      <c r="K425" s="15">
        <v>45048.0</v>
      </c>
      <c r="L425" s="15">
        <v>30922.0</v>
      </c>
      <c r="M425" s="13">
        <v>18766.0</v>
      </c>
      <c r="N425" s="7">
        <v>4502.0</v>
      </c>
      <c r="O425" s="7"/>
      <c r="P425" s="7">
        <v>13.33</v>
      </c>
      <c r="Q425" s="7"/>
      <c r="R425" s="20"/>
      <c r="S425" s="7"/>
      <c r="T425" s="20"/>
      <c r="U425" s="16">
        <f>SUM(Template!$N425:$O425)*Template!$P425+Template!$Q425</f>
        <v>60011.66</v>
      </c>
      <c r="V425" s="17" t="str">
        <f>IF(Template!$M425="CONSELHO","N",IF(Template!$AA425="N","N1",IF(Template!$AA425="N1","N2",IF(Template!$AA425="N2","N3",IF(Template!$AA425="N3","N4",IF(Template!$AA425="N4","N5",IF(Template!$AA425="N5","N6",IF(Template!$AA425="N6","N7",IF(Template!$AA425="N7","N8",IF(Template!$AA425="N8","N9",IF(Template!$AA425="N9","N10","NA")))))))))))</f>
        <v>N3</v>
      </c>
      <c r="W425" s="17">
        <f>COUNTIF(Template!$M$3:$M$619,Template!$D425)</f>
        <v>9</v>
      </c>
      <c r="X425" s="17" t="str">
        <f>IF(Template!$F425="","",SUMIF(Template!$M$3:$M$619,Template!$D425,Template!$AC$3:$AC$619))</f>
        <v/>
      </c>
      <c r="Y425" s="17" t="str">
        <f>IFERROR(VLOOKUP(Template!$M425,Template!$D$3:$G$619,MATCH("EmployeeJobTitle",Template!$D$2:$G$2,0),FALSE),"NA")</f>
        <v>GERENTE COMERCIAL</v>
      </c>
      <c r="Z425" s="17" t="str">
        <f>IFERROR(VLOOKUP(Template!$M425,Template!$D$3:$G$619,MATCH("EmployeeGroup",Template!$D$2:$G$2,0),FALSE),"NA")</f>
        <v>Coordenador</v>
      </c>
      <c r="AA425" s="17" t="str">
        <f>IFERROR(VLOOKUP(Template!$M425,Template!$D$3:$V$619,MATCH("Layer",Template!$D$2:$V$2,0),FALSE),"NA")</f>
        <v>N2</v>
      </c>
      <c r="AB425" s="21">
        <f>VLOOKUP(Template!$M425,Template!$D$3:$F$619,MATCH("InternalGrade",Template!$D$2:$F$2,0),FALSE)-Template!$F425</f>
        <v>19</v>
      </c>
      <c r="AC425" s="17">
        <f>IF(Template!$AB425&lt;=1, 0.8,IF(Template!$AB425=2,0.4,IF(Template!$AB425=3,0.2,IF(Template!$AB425=4,0.1,IF(Template!$AB425&gt;=5,0.05,"erro")))))</f>
        <v>0.05</v>
      </c>
      <c r="AD425" s="17" t="b">
        <f>Template!$D425=Template!$M425</f>
        <v>0</v>
      </c>
      <c r="AE425" s="12" t="s">
        <v>58</v>
      </c>
    </row>
    <row r="426" ht="15.75" customHeight="1">
      <c r="A426" s="7" t="s">
        <v>190</v>
      </c>
      <c r="B426" s="7" t="s">
        <v>209</v>
      </c>
      <c r="C426" s="7" t="s">
        <v>250</v>
      </c>
      <c r="D426" s="13">
        <v>25273.0</v>
      </c>
      <c r="E426" s="7" t="s">
        <v>196</v>
      </c>
      <c r="F426" s="13"/>
      <c r="G426" s="14" t="s">
        <v>63</v>
      </c>
      <c r="H426" s="7" t="s">
        <v>64</v>
      </c>
      <c r="I426" s="7" t="s">
        <v>65</v>
      </c>
      <c r="J426" s="7" t="s">
        <v>70</v>
      </c>
      <c r="K426" s="15">
        <v>45510.0</v>
      </c>
      <c r="L426" s="15">
        <v>35129.0</v>
      </c>
      <c r="M426" s="13">
        <v>23993.0</v>
      </c>
      <c r="N426" s="7">
        <v>1893.0</v>
      </c>
      <c r="O426" s="7"/>
      <c r="P426" s="7">
        <v>13.33</v>
      </c>
      <c r="Q426" s="7"/>
      <c r="R426" s="20"/>
      <c r="S426" s="7"/>
      <c r="T426" s="20"/>
      <c r="U426" s="16">
        <f>SUM(Template!$N426:$O426)*Template!$P426+Template!$Q426</f>
        <v>25233.69</v>
      </c>
      <c r="V426" s="17" t="str">
        <f>IF(Template!$M426="CONSELHO","N",IF(Template!$AA426="N","N1",IF(Template!$AA426="N1","N2",IF(Template!$AA426="N2","N3",IF(Template!$AA426="N3","N4",IF(Template!$AA426="N4","N5",IF(Template!$AA426="N5","N6",IF(Template!$AA426="N6","N7",IF(Template!$AA426="N7","N8",IF(Template!$AA426="N8","N9",IF(Template!$AA426="N9","N10","NA")))))))))))</f>
        <v>N4</v>
      </c>
      <c r="W426" s="17">
        <f>COUNTIF(Template!$M$3:$M$619,Template!$D426)</f>
        <v>0</v>
      </c>
      <c r="X426" s="17" t="str">
        <f>IF(Template!$F426="","",SUMIF(Template!$M$3:$M$619,Template!$D426,Template!$AC$3:$AC$619))</f>
        <v/>
      </c>
      <c r="Y426" s="17" t="str">
        <f>IFERROR(VLOOKUP(Template!$M426,Template!$D$3:$G$619,MATCH("EmployeeJobTitle",Template!$D$2:$G$2,0),FALSE),"NA")</f>
        <v>GERENTE DE LOJA</v>
      </c>
      <c r="Z426" s="17" t="str">
        <f>IFERROR(VLOOKUP(Template!$M426,Template!$D$3:$G$619,MATCH("EmployeeGroup",Template!$D$2:$G$2,0),FALSE),"NA")</f>
        <v>GERENTE</v>
      </c>
      <c r="AA426" s="17" t="str">
        <f>IFERROR(VLOOKUP(Template!$M426,Template!$D$3:$V$619,MATCH("Layer",Template!$D$2:$V$2,0),FALSE),"NA")</f>
        <v>N3</v>
      </c>
      <c r="AB426" s="21">
        <f>VLOOKUP(Template!$M426,Template!$D$3:$F$619,MATCH("InternalGrade",Template!$D$2:$F$2,0),FALSE)-Template!$F426</f>
        <v>0</v>
      </c>
      <c r="AC426" s="17">
        <f>IF(Template!$AB426&lt;=1, 0.8,IF(Template!$AB426=2,0.4,IF(Template!$AB426=3,0.2,IF(Template!$AB426=4,0.1,IF(Template!$AB426&gt;=5,0.05,"erro")))))</f>
        <v>0.8</v>
      </c>
      <c r="AD426" s="17" t="b">
        <f>Template!$D426=Template!$M426</f>
        <v>0</v>
      </c>
      <c r="AE426" s="12" t="s">
        <v>58</v>
      </c>
    </row>
    <row r="427" ht="15.75" customHeight="1">
      <c r="A427" s="7" t="s">
        <v>190</v>
      </c>
      <c r="B427" s="7" t="s">
        <v>209</v>
      </c>
      <c r="C427" s="7" t="s">
        <v>250</v>
      </c>
      <c r="D427" s="13">
        <v>25426.0</v>
      </c>
      <c r="E427" s="7" t="s">
        <v>193</v>
      </c>
      <c r="F427" s="13"/>
      <c r="G427" s="14" t="s">
        <v>63</v>
      </c>
      <c r="H427" s="7" t="s">
        <v>64</v>
      </c>
      <c r="I427" s="7" t="s">
        <v>65</v>
      </c>
      <c r="J427" s="7" t="s">
        <v>70</v>
      </c>
      <c r="K427" s="15">
        <v>45566.0</v>
      </c>
      <c r="L427" s="15">
        <v>27360.0</v>
      </c>
      <c r="M427" s="13">
        <v>23993.0</v>
      </c>
      <c r="N427" s="7"/>
      <c r="O427" s="7"/>
      <c r="P427" s="7">
        <v>13.33</v>
      </c>
      <c r="Q427" s="7"/>
      <c r="R427" s="20"/>
      <c r="S427" s="7"/>
      <c r="T427" s="20"/>
      <c r="U427" s="16">
        <f>SUM(Template!$N427:$O427)*Template!$P427+Template!$Q427</f>
        <v>0</v>
      </c>
      <c r="V427" s="17" t="str">
        <f>IF(Template!$M427="CONSELHO","N",IF(Template!$AA427="N","N1",IF(Template!$AA427="N1","N2",IF(Template!$AA427="N2","N3",IF(Template!$AA427="N3","N4",IF(Template!$AA427="N4","N5",IF(Template!$AA427="N5","N6",IF(Template!$AA427="N6","N7",IF(Template!$AA427="N7","N8",IF(Template!$AA427="N8","N9",IF(Template!$AA427="N9","N10","NA")))))))))))</f>
        <v>N4</v>
      </c>
      <c r="W427" s="17">
        <f>COUNTIF(Template!$M$3:$M$619,Template!$D427)</f>
        <v>0</v>
      </c>
      <c r="X427" s="17" t="str">
        <f>IF(Template!$F427="","",SUMIF(Template!$M$3:$M$619,Template!$D427,Template!$AC$3:$AC$619))</f>
        <v/>
      </c>
      <c r="Y427" s="17" t="str">
        <f>IFERROR(VLOOKUP(Template!$M427,Template!$D$3:$G$619,MATCH("EmployeeJobTitle",Template!$D$2:$G$2,0),FALSE),"NA")</f>
        <v>GERENTE DE LOJA</v>
      </c>
      <c r="Z427" s="17" t="str">
        <f>IFERROR(VLOOKUP(Template!$M427,Template!$D$3:$G$619,MATCH("EmployeeGroup",Template!$D$2:$G$2,0),FALSE),"NA")</f>
        <v>GERENTE</v>
      </c>
      <c r="AA427" s="17" t="str">
        <f>IFERROR(VLOOKUP(Template!$M427,Template!$D$3:$V$619,MATCH("Layer",Template!$D$2:$V$2,0),FALSE),"NA")</f>
        <v>N3</v>
      </c>
      <c r="AB427" s="21">
        <f>VLOOKUP(Template!$M427,Template!$D$3:$F$619,MATCH("InternalGrade",Template!$D$2:$F$2,0),FALSE)-Template!$F427</f>
        <v>0</v>
      </c>
      <c r="AC427" s="17">
        <f>IF(Template!$AB427&lt;=1, 0.8,IF(Template!$AB427=2,0.4,IF(Template!$AB427=3,0.2,IF(Template!$AB427=4,0.1,IF(Template!$AB427&gt;=5,0.05,"erro")))))</f>
        <v>0.8</v>
      </c>
      <c r="AD427" s="17" t="b">
        <f>Template!$D427=Template!$M427</f>
        <v>0</v>
      </c>
      <c r="AE427" s="12" t="s">
        <v>58</v>
      </c>
    </row>
    <row r="428" ht="15.75" customHeight="1">
      <c r="A428" s="7" t="s">
        <v>190</v>
      </c>
      <c r="B428" s="7" t="s">
        <v>209</v>
      </c>
      <c r="C428" s="7" t="s">
        <v>250</v>
      </c>
      <c r="D428" s="13">
        <v>25456.0</v>
      </c>
      <c r="E428" s="7" t="s">
        <v>196</v>
      </c>
      <c r="F428" s="13"/>
      <c r="G428" s="14" t="s">
        <v>63</v>
      </c>
      <c r="H428" s="7" t="s">
        <v>64</v>
      </c>
      <c r="I428" s="7" t="s">
        <v>65</v>
      </c>
      <c r="J428" s="7" t="s">
        <v>70</v>
      </c>
      <c r="K428" s="15">
        <v>45579.0</v>
      </c>
      <c r="L428" s="15">
        <v>37491.0</v>
      </c>
      <c r="M428" s="13">
        <v>23993.0</v>
      </c>
      <c r="N428" s="7">
        <v>1893.0</v>
      </c>
      <c r="O428" s="7"/>
      <c r="P428" s="7">
        <v>13.33</v>
      </c>
      <c r="Q428" s="7"/>
      <c r="R428" s="20"/>
      <c r="S428" s="7"/>
      <c r="T428" s="20"/>
      <c r="U428" s="16">
        <f>SUM(Template!$N428:$O428)*Template!$P428+Template!$Q428</f>
        <v>25233.69</v>
      </c>
      <c r="V428" s="17" t="str">
        <f>IF(Template!$M428="CONSELHO","N",IF(Template!$AA428="N","N1",IF(Template!$AA428="N1","N2",IF(Template!$AA428="N2","N3",IF(Template!$AA428="N3","N4",IF(Template!$AA428="N4","N5",IF(Template!$AA428="N5","N6",IF(Template!$AA428="N6","N7",IF(Template!$AA428="N7","N8",IF(Template!$AA428="N8","N9",IF(Template!$AA428="N9","N10","NA")))))))))))</f>
        <v>N4</v>
      </c>
      <c r="W428" s="17">
        <f>COUNTIF(Template!$M$3:$M$619,Template!$D428)</f>
        <v>0</v>
      </c>
      <c r="X428" s="17" t="str">
        <f>IF(Template!$F428="","",SUMIF(Template!$M$3:$M$619,Template!$D428,Template!$AC$3:$AC$619))</f>
        <v/>
      </c>
      <c r="Y428" s="17" t="str">
        <f>IFERROR(VLOOKUP(Template!$M428,Template!$D$3:$G$619,MATCH("EmployeeJobTitle",Template!$D$2:$G$2,0),FALSE),"NA")</f>
        <v>GERENTE DE LOJA</v>
      </c>
      <c r="Z428" s="17" t="str">
        <f>IFERROR(VLOOKUP(Template!$M428,Template!$D$3:$G$619,MATCH("EmployeeGroup",Template!$D$2:$G$2,0),FALSE),"NA")</f>
        <v>GERENTE</v>
      </c>
      <c r="AA428" s="17" t="str">
        <f>IFERROR(VLOOKUP(Template!$M428,Template!$D$3:$V$619,MATCH("Layer",Template!$D$2:$V$2,0),FALSE),"NA")</f>
        <v>N3</v>
      </c>
      <c r="AB428" s="21">
        <f>VLOOKUP(Template!$M428,Template!$D$3:$F$619,MATCH("InternalGrade",Template!$D$2:$F$2,0),FALSE)-Template!$F428</f>
        <v>0</v>
      </c>
      <c r="AC428" s="17">
        <f>IF(Template!$AB428&lt;=1, 0.8,IF(Template!$AB428=2,0.4,IF(Template!$AB428=3,0.2,IF(Template!$AB428=4,0.1,IF(Template!$AB428&gt;=5,0.05,"erro")))))</f>
        <v>0.8</v>
      </c>
      <c r="AD428" s="17" t="b">
        <f>Template!$D428=Template!$M428</f>
        <v>0</v>
      </c>
      <c r="AE428" s="12" t="s">
        <v>58</v>
      </c>
    </row>
    <row r="429" ht="15.75" customHeight="1">
      <c r="A429" s="7" t="s">
        <v>190</v>
      </c>
      <c r="B429" s="7" t="s">
        <v>209</v>
      </c>
      <c r="C429" s="7" t="s">
        <v>250</v>
      </c>
      <c r="D429" s="13">
        <v>24287.0</v>
      </c>
      <c r="E429" s="7" t="s">
        <v>193</v>
      </c>
      <c r="F429" s="13"/>
      <c r="G429" s="14" t="s">
        <v>63</v>
      </c>
      <c r="H429" s="7" t="s">
        <v>64</v>
      </c>
      <c r="I429" s="7" t="s">
        <v>65</v>
      </c>
      <c r="J429" s="7" t="s">
        <v>70</v>
      </c>
      <c r="K429" s="15">
        <v>45187.0</v>
      </c>
      <c r="L429" s="15">
        <v>28000.0</v>
      </c>
      <c r="M429" s="13">
        <v>23993.0</v>
      </c>
      <c r="N429" s="7"/>
      <c r="O429" s="7"/>
      <c r="P429" s="7">
        <v>13.33</v>
      </c>
      <c r="Q429" s="7"/>
      <c r="R429" s="20"/>
      <c r="S429" s="7"/>
      <c r="T429" s="20"/>
      <c r="U429" s="16">
        <f>SUM(Template!$N429:$O429)*Template!$P429+Template!$Q429</f>
        <v>0</v>
      </c>
      <c r="V429" s="17" t="str">
        <f>IF(Template!$M429="CONSELHO","N",IF(Template!$AA429="N","N1",IF(Template!$AA429="N1","N2",IF(Template!$AA429="N2","N3",IF(Template!$AA429="N3","N4",IF(Template!$AA429="N4","N5",IF(Template!$AA429="N5","N6",IF(Template!$AA429="N6","N7",IF(Template!$AA429="N7","N8",IF(Template!$AA429="N8","N9",IF(Template!$AA429="N9","N10","NA")))))))))))</f>
        <v>N4</v>
      </c>
      <c r="W429" s="17">
        <f>COUNTIF(Template!$M$3:$M$619,Template!$D429)</f>
        <v>0</v>
      </c>
      <c r="X429" s="17" t="str">
        <f>IF(Template!$F429="","",SUMIF(Template!$M$3:$M$619,Template!$D429,Template!$AC$3:$AC$619))</f>
        <v/>
      </c>
      <c r="Y429" s="17" t="str">
        <f>IFERROR(VLOOKUP(Template!$M429,Template!$D$3:$G$619,MATCH("EmployeeJobTitle",Template!$D$2:$G$2,0),FALSE),"NA")</f>
        <v>GERENTE DE LOJA</v>
      </c>
      <c r="Z429" s="17" t="str">
        <f>IFERROR(VLOOKUP(Template!$M429,Template!$D$3:$G$619,MATCH("EmployeeGroup",Template!$D$2:$G$2,0),FALSE),"NA")</f>
        <v>GERENTE</v>
      </c>
      <c r="AA429" s="17" t="str">
        <f>IFERROR(VLOOKUP(Template!$M429,Template!$D$3:$V$619,MATCH("Layer",Template!$D$2:$V$2,0),FALSE),"NA")</f>
        <v>N3</v>
      </c>
      <c r="AB429" s="21">
        <f>VLOOKUP(Template!$M429,Template!$D$3:$F$619,MATCH("InternalGrade",Template!$D$2:$F$2,0),FALSE)-Template!$F429</f>
        <v>0</v>
      </c>
      <c r="AC429" s="17">
        <f>IF(Template!$AB429&lt;=1, 0.8,IF(Template!$AB429=2,0.4,IF(Template!$AB429=3,0.2,IF(Template!$AB429=4,0.1,IF(Template!$AB429&gt;=5,0.05,"erro")))))</f>
        <v>0.8</v>
      </c>
      <c r="AD429" s="17" t="b">
        <f>Template!$D429=Template!$M429</f>
        <v>0</v>
      </c>
      <c r="AE429" s="12" t="s">
        <v>58</v>
      </c>
    </row>
    <row r="430" ht="15.75" customHeight="1">
      <c r="A430" s="7" t="s">
        <v>190</v>
      </c>
      <c r="B430" s="7" t="s">
        <v>160</v>
      </c>
      <c r="C430" s="7" t="s">
        <v>251</v>
      </c>
      <c r="D430" s="13">
        <v>25329.0</v>
      </c>
      <c r="E430" s="7" t="s">
        <v>198</v>
      </c>
      <c r="F430" s="13"/>
      <c r="G430" s="14" t="s">
        <v>63</v>
      </c>
      <c r="H430" s="7" t="s">
        <v>240</v>
      </c>
      <c r="I430" s="7" t="s">
        <v>239</v>
      </c>
      <c r="J430" s="7" t="s">
        <v>70</v>
      </c>
      <c r="K430" s="15">
        <v>45526.0</v>
      </c>
      <c r="L430" s="15">
        <v>32121.0</v>
      </c>
      <c r="M430" s="13">
        <v>15366.0</v>
      </c>
      <c r="N430" s="7">
        <v>1581.35</v>
      </c>
      <c r="O430" s="7"/>
      <c r="P430" s="7">
        <v>13.33</v>
      </c>
      <c r="Q430" s="7"/>
      <c r="R430" s="20"/>
      <c r="S430" s="7"/>
      <c r="T430" s="20"/>
      <c r="U430" s="16">
        <f>SUM(Template!$N430:$O430)*Template!$P430+Template!$Q430</f>
        <v>21079.3955</v>
      </c>
      <c r="V430" s="17" t="str">
        <f>IF(Template!$M430="CONSELHO","N",IF(Template!$AA430="N","N1",IF(Template!$AA430="N1","N2",IF(Template!$AA430="N2","N3",IF(Template!$AA430="N3","N4",IF(Template!$AA430="N4","N5",IF(Template!$AA430="N5","N6",IF(Template!$AA430="N6","N7",IF(Template!$AA430="N7","N8",IF(Template!$AA430="N8","N9",IF(Template!$AA430="N9","N10","NA")))))))))))</f>
        <v>N4</v>
      </c>
      <c r="W430" s="17">
        <f>COUNTIF(Template!$M$3:$M$619,Template!$D430)</f>
        <v>0</v>
      </c>
      <c r="X430" s="17" t="str">
        <f>IF(Template!$F430="","",SUMIF(Template!$M$3:$M$619,Template!$D430,Template!$AC$3:$AC$619))</f>
        <v/>
      </c>
      <c r="Y430" s="17" t="str">
        <f>IFERROR(VLOOKUP(Template!$M430,Template!$D$3:$G$619,MATCH("EmployeeJobTitle",Template!$D$2:$G$2,0),FALSE),"NA")</f>
        <v>GERENTE DE LOJA</v>
      </c>
      <c r="Z430" s="17" t="str">
        <f>IFERROR(VLOOKUP(Template!$M430,Template!$D$3:$G$619,MATCH("EmployeeGroup",Template!$D$2:$G$2,0),FALSE),"NA")</f>
        <v>GERENTE</v>
      </c>
      <c r="AA430" s="17" t="str">
        <f>IFERROR(VLOOKUP(Template!$M430,Template!$D$3:$V$619,MATCH("Layer",Template!$D$2:$V$2,0),FALSE),"NA")</f>
        <v>N3</v>
      </c>
      <c r="AB430" s="21">
        <f>VLOOKUP(Template!$M430,Template!$D$3:$F$619,MATCH("InternalGrade",Template!$D$2:$F$2,0),FALSE)-Template!$F430</f>
        <v>0</v>
      </c>
      <c r="AC430" s="17">
        <f>IF(Template!$AB430&lt;=1, 0.8,IF(Template!$AB430=2,0.4,IF(Template!$AB430=3,0.2,IF(Template!$AB430=4,0.1,IF(Template!$AB430&gt;=5,0.05,"erro")))))</f>
        <v>0.8</v>
      </c>
      <c r="AD430" s="17" t="b">
        <f>Template!$D430=Template!$M430</f>
        <v>0</v>
      </c>
      <c r="AE430" s="12" t="s">
        <v>58</v>
      </c>
    </row>
    <row r="431" ht="15.75" customHeight="1">
      <c r="A431" s="7" t="s">
        <v>190</v>
      </c>
      <c r="B431" s="7" t="s">
        <v>160</v>
      </c>
      <c r="C431" s="7" t="s">
        <v>251</v>
      </c>
      <c r="D431" s="13">
        <v>24165.0</v>
      </c>
      <c r="E431" s="7" t="s">
        <v>196</v>
      </c>
      <c r="F431" s="13"/>
      <c r="G431" s="14" t="s">
        <v>63</v>
      </c>
      <c r="H431" s="7" t="s">
        <v>240</v>
      </c>
      <c r="I431" s="7" t="s">
        <v>239</v>
      </c>
      <c r="J431" s="7" t="s">
        <v>70</v>
      </c>
      <c r="K431" s="15">
        <v>45128.0</v>
      </c>
      <c r="L431" s="15">
        <v>33874.0</v>
      </c>
      <c r="M431" s="13">
        <v>15366.0</v>
      </c>
      <c r="N431" s="7">
        <v>1581.35</v>
      </c>
      <c r="O431" s="7"/>
      <c r="P431" s="7">
        <v>13.33</v>
      </c>
      <c r="Q431" s="7"/>
      <c r="R431" s="20"/>
      <c r="S431" s="7"/>
      <c r="T431" s="20"/>
      <c r="U431" s="16">
        <f>SUM(Template!$N431:$O431)*Template!$P431+Template!$Q431</f>
        <v>21079.3955</v>
      </c>
      <c r="V431" s="17" t="str">
        <f>IF(Template!$M431="CONSELHO","N",IF(Template!$AA431="N","N1",IF(Template!$AA431="N1","N2",IF(Template!$AA431="N2","N3",IF(Template!$AA431="N3","N4",IF(Template!$AA431="N4","N5",IF(Template!$AA431="N5","N6",IF(Template!$AA431="N6","N7",IF(Template!$AA431="N7","N8",IF(Template!$AA431="N8","N9",IF(Template!$AA431="N9","N10","NA")))))))))))</f>
        <v>N4</v>
      </c>
      <c r="W431" s="17">
        <f>COUNTIF(Template!$M$3:$M$619,Template!$D431)</f>
        <v>0</v>
      </c>
      <c r="X431" s="17" t="str">
        <f>IF(Template!$F431="","",SUMIF(Template!$M$3:$M$619,Template!$D431,Template!$AC$3:$AC$619))</f>
        <v/>
      </c>
      <c r="Y431" s="17" t="str">
        <f>IFERROR(VLOOKUP(Template!$M431,Template!$D$3:$G$619,MATCH("EmployeeJobTitle",Template!$D$2:$G$2,0),FALSE),"NA")</f>
        <v>GERENTE DE LOJA</v>
      </c>
      <c r="Z431" s="17" t="str">
        <f>IFERROR(VLOOKUP(Template!$M431,Template!$D$3:$G$619,MATCH("EmployeeGroup",Template!$D$2:$G$2,0),FALSE),"NA")</f>
        <v>GERENTE</v>
      </c>
      <c r="AA431" s="17" t="str">
        <f>IFERROR(VLOOKUP(Template!$M431,Template!$D$3:$V$619,MATCH("Layer",Template!$D$2:$V$2,0),FALSE),"NA")</f>
        <v>N3</v>
      </c>
      <c r="AB431" s="21">
        <f>VLOOKUP(Template!$M431,Template!$D$3:$F$619,MATCH("InternalGrade",Template!$D$2:$F$2,0),FALSE)-Template!$F431</f>
        <v>0</v>
      </c>
      <c r="AC431" s="17">
        <f>IF(Template!$AB431&lt;=1, 0.8,IF(Template!$AB431=2,0.4,IF(Template!$AB431=3,0.2,IF(Template!$AB431=4,0.1,IF(Template!$AB431&gt;=5,0.05,"erro")))))</f>
        <v>0.8</v>
      </c>
      <c r="AD431" s="17" t="b">
        <f>Template!$D431=Template!$M431</f>
        <v>0</v>
      </c>
      <c r="AE431" s="12" t="s">
        <v>58</v>
      </c>
    </row>
    <row r="432" ht="15.75" customHeight="1">
      <c r="A432" s="7" t="s">
        <v>190</v>
      </c>
      <c r="B432" s="7" t="s">
        <v>160</v>
      </c>
      <c r="C432" s="7" t="s">
        <v>251</v>
      </c>
      <c r="D432" s="13">
        <v>19786.0</v>
      </c>
      <c r="E432" s="7" t="s">
        <v>193</v>
      </c>
      <c r="F432" s="13"/>
      <c r="G432" s="14" t="s">
        <v>63</v>
      </c>
      <c r="H432" s="7" t="s">
        <v>240</v>
      </c>
      <c r="I432" s="7" t="s">
        <v>239</v>
      </c>
      <c r="J432" s="7" t="s">
        <v>70</v>
      </c>
      <c r="K432" s="15">
        <v>44440.0</v>
      </c>
      <c r="L432" s="15">
        <v>29173.0</v>
      </c>
      <c r="M432" s="13">
        <v>15366.0</v>
      </c>
      <c r="N432" s="7"/>
      <c r="O432" s="7"/>
      <c r="P432" s="7">
        <v>13.33</v>
      </c>
      <c r="Q432" s="7"/>
      <c r="R432" s="20"/>
      <c r="S432" s="7"/>
      <c r="T432" s="20"/>
      <c r="U432" s="16">
        <f>SUM(Template!$N432:$O432)*Template!$P432+Template!$Q432</f>
        <v>0</v>
      </c>
      <c r="V432" s="17" t="str">
        <f>IF(Template!$M432="CONSELHO","N",IF(Template!$AA432="N","N1",IF(Template!$AA432="N1","N2",IF(Template!$AA432="N2","N3",IF(Template!$AA432="N3","N4",IF(Template!$AA432="N4","N5",IF(Template!$AA432="N5","N6",IF(Template!$AA432="N6","N7",IF(Template!$AA432="N7","N8",IF(Template!$AA432="N8","N9",IF(Template!$AA432="N9","N10","NA")))))))))))</f>
        <v>N4</v>
      </c>
      <c r="W432" s="17">
        <f>COUNTIF(Template!$M$3:$M$619,Template!$D432)</f>
        <v>0</v>
      </c>
      <c r="X432" s="17" t="str">
        <f>IF(Template!$F432="","",SUMIF(Template!$M$3:$M$619,Template!$D432,Template!$AC$3:$AC$619))</f>
        <v/>
      </c>
      <c r="Y432" s="17" t="str">
        <f>IFERROR(VLOOKUP(Template!$M432,Template!$D$3:$G$619,MATCH("EmployeeJobTitle",Template!$D$2:$G$2,0),FALSE),"NA")</f>
        <v>GERENTE DE LOJA</v>
      </c>
      <c r="Z432" s="17" t="str">
        <f>IFERROR(VLOOKUP(Template!$M432,Template!$D$3:$G$619,MATCH("EmployeeGroup",Template!$D$2:$G$2,0),FALSE),"NA")</f>
        <v>GERENTE</v>
      </c>
      <c r="AA432" s="17" t="str">
        <f>IFERROR(VLOOKUP(Template!$M432,Template!$D$3:$V$619,MATCH("Layer",Template!$D$2:$V$2,0),FALSE),"NA")</f>
        <v>N3</v>
      </c>
      <c r="AB432" s="21">
        <f>VLOOKUP(Template!$M432,Template!$D$3:$F$619,MATCH("InternalGrade",Template!$D$2:$F$2,0),FALSE)-Template!$F432</f>
        <v>0</v>
      </c>
      <c r="AC432" s="17">
        <f>IF(Template!$AB432&lt;=1, 0.8,IF(Template!$AB432=2,0.4,IF(Template!$AB432=3,0.2,IF(Template!$AB432=4,0.1,IF(Template!$AB432&gt;=5,0.05,"erro")))))</f>
        <v>0.8</v>
      </c>
      <c r="AD432" s="17" t="b">
        <f>Template!$D432=Template!$M432</f>
        <v>0</v>
      </c>
      <c r="AE432" s="12" t="s">
        <v>58</v>
      </c>
    </row>
    <row r="433" ht="15.75" customHeight="1">
      <c r="A433" s="7" t="s">
        <v>190</v>
      </c>
      <c r="B433" s="7" t="s">
        <v>160</v>
      </c>
      <c r="C433" s="7" t="s">
        <v>251</v>
      </c>
      <c r="D433" s="13">
        <v>16716.0</v>
      </c>
      <c r="E433" s="7" t="s">
        <v>197</v>
      </c>
      <c r="F433" s="13"/>
      <c r="G433" s="22" t="s">
        <v>87</v>
      </c>
      <c r="H433" s="7" t="s">
        <v>240</v>
      </c>
      <c r="I433" s="7" t="s">
        <v>239</v>
      </c>
      <c r="J433" s="7" t="s">
        <v>70</v>
      </c>
      <c r="K433" s="15">
        <v>43164.0</v>
      </c>
      <c r="L433" s="15">
        <v>32362.0</v>
      </c>
      <c r="M433" s="13">
        <v>15366.0</v>
      </c>
      <c r="N433" s="7"/>
      <c r="O433" s="7"/>
      <c r="P433" s="7">
        <v>13.33</v>
      </c>
      <c r="Q433" s="7"/>
      <c r="R433" s="20"/>
      <c r="S433" s="7"/>
      <c r="T433" s="20"/>
      <c r="U433" s="16">
        <f>SUM(Template!$N433:$O433)*Template!$P433+Template!$Q433</f>
        <v>0</v>
      </c>
      <c r="V433" s="17" t="str">
        <f>IF(Template!$M433="CONSELHO","N",IF(Template!$AA433="N","N1",IF(Template!$AA433="N1","N2",IF(Template!$AA433="N2","N3",IF(Template!$AA433="N3","N4",IF(Template!$AA433="N4","N5",IF(Template!$AA433="N5","N6",IF(Template!$AA433="N6","N7",IF(Template!$AA433="N7","N8",IF(Template!$AA433="N8","N9",IF(Template!$AA433="N9","N10","NA")))))))))))</f>
        <v>N4</v>
      </c>
      <c r="W433" s="17">
        <f>COUNTIF(Template!$M$3:$M$619,Template!$D433)</f>
        <v>0</v>
      </c>
      <c r="X433" s="17" t="str">
        <f>IF(Template!$F433="","",SUMIF(Template!$M$3:$M$619,Template!$D433,Template!$AC$3:$AC$619))</f>
        <v/>
      </c>
      <c r="Y433" s="17" t="str">
        <f>IFERROR(VLOOKUP(Template!$M433,Template!$D$3:$G$619,MATCH("EmployeeJobTitle",Template!$D$2:$G$2,0),FALSE),"NA")</f>
        <v>GERENTE DE LOJA</v>
      </c>
      <c r="Z433" s="17" t="str">
        <f>IFERROR(VLOOKUP(Template!$M433,Template!$D$3:$G$619,MATCH("EmployeeGroup",Template!$D$2:$G$2,0),FALSE),"NA")</f>
        <v>GERENTE</v>
      </c>
      <c r="AA433" s="17" t="str">
        <f>IFERROR(VLOOKUP(Template!$M433,Template!$D$3:$V$619,MATCH("Layer",Template!$D$2:$V$2,0),FALSE),"NA")</f>
        <v>N3</v>
      </c>
      <c r="AB433" s="21">
        <f>VLOOKUP(Template!$M433,Template!$D$3:$F$619,MATCH("InternalGrade",Template!$D$2:$F$2,0),FALSE)-Template!$F433</f>
        <v>0</v>
      </c>
      <c r="AC433" s="17">
        <f>IF(Template!$AB433&lt;=1, 0.8,IF(Template!$AB433=2,0.4,IF(Template!$AB433=3,0.2,IF(Template!$AB433=4,0.1,IF(Template!$AB433&gt;=5,0.05,"erro")))))</f>
        <v>0.8</v>
      </c>
      <c r="AD433" s="17" t="b">
        <f>Template!$D433=Template!$M433</f>
        <v>0</v>
      </c>
      <c r="AE433" s="12" t="s">
        <v>58</v>
      </c>
    </row>
    <row r="434" ht="15.75" customHeight="1">
      <c r="A434" s="7" t="s">
        <v>190</v>
      </c>
      <c r="B434" s="7" t="s">
        <v>160</v>
      </c>
      <c r="C434" s="7" t="s">
        <v>251</v>
      </c>
      <c r="D434" s="13">
        <v>19787.0</v>
      </c>
      <c r="E434" s="7" t="s">
        <v>198</v>
      </c>
      <c r="F434" s="13"/>
      <c r="G434" s="14" t="s">
        <v>63</v>
      </c>
      <c r="H434" s="7" t="s">
        <v>240</v>
      </c>
      <c r="I434" s="7" t="s">
        <v>239</v>
      </c>
      <c r="J434" s="7" t="s">
        <v>70</v>
      </c>
      <c r="K434" s="15">
        <v>44440.0</v>
      </c>
      <c r="L434" s="15">
        <v>23795.0</v>
      </c>
      <c r="M434" s="13">
        <v>15366.0</v>
      </c>
      <c r="N434" s="7">
        <v>1581.35</v>
      </c>
      <c r="O434" s="7"/>
      <c r="P434" s="7">
        <v>13.33</v>
      </c>
      <c r="Q434" s="7"/>
      <c r="R434" s="20"/>
      <c r="S434" s="7"/>
      <c r="T434" s="20"/>
      <c r="U434" s="16">
        <f>SUM(Template!$N434:$O434)*Template!$P434+Template!$Q434</f>
        <v>21079.3955</v>
      </c>
      <c r="V434" s="17" t="str">
        <f>IF(Template!$M434="CONSELHO","N",IF(Template!$AA434="N","N1",IF(Template!$AA434="N1","N2",IF(Template!$AA434="N2","N3",IF(Template!$AA434="N3","N4",IF(Template!$AA434="N4","N5",IF(Template!$AA434="N5","N6",IF(Template!$AA434="N6","N7",IF(Template!$AA434="N7","N8",IF(Template!$AA434="N8","N9",IF(Template!$AA434="N9","N10","NA")))))))))))</f>
        <v>N4</v>
      </c>
      <c r="W434" s="17">
        <f>COUNTIF(Template!$M$3:$M$619,Template!$D434)</f>
        <v>0</v>
      </c>
      <c r="X434" s="17" t="str">
        <f>IF(Template!$F434="","",SUMIF(Template!$M$3:$M$619,Template!$D434,Template!$AC$3:$AC$619))</f>
        <v/>
      </c>
      <c r="Y434" s="17" t="str">
        <f>IFERROR(VLOOKUP(Template!$M434,Template!$D$3:$G$619,MATCH("EmployeeJobTitle",Template!$D$2:$G$2,0),FALSE),"NA")</f>
        <v>GERENTE DE LOJA</v>
      </c>
      <c r="Z434" s="17" t="str">
        <f>IFERROR(VLOOKUP(Template!$M434,Template!$D$3:$G$619,MATCH("EmployeeGroup",Template!$D$2:$G$2,0),FALSE),"NA")</f>
        <v>GERENTE</v>
      </c>
      <c r="AA434" s="17" t="str">
        <f>IFERROR(VLOOKUP(Template!$M434,Template!$D$3:$V$619,MATCH("Layer",Template!$D$2:$V$2,0),FALSE),"NA")</f>
        <v>N3</v>
      </c>
      <c r="AB434" s="21">
        <f>VLOOKUP(Template!$M434,Template!$D$3:$F$619,MATCH("InternalGrade",Template!$D$2:$F$2,0),FALSE)-Template!$F434</f>
        <v>0</v>
      </c>
      <c r="AC434" s="17">
        <f>IF(Template!$AB434&lt;=1, 0.8,IF(Template!$AB434=2,0.4,IF(Template!$AB434=3,0.2,IF(Template!$AB434=4,0.1,IF(Template!$AB434&gt;=5,0.05,"erro")))))</f>
        <v>0.8</v>
      </c>
      <c r="AD434" s="17" t="b">
        <f>Template!$D434=Template!$M434</f>
        <v>0</v>
      </c>
      <c r="AE434" s="12" t="s">
        <v>58</v>
      </c>
    </row>
    <row r="435" ht="15.75" customHeight="1">
      <c r="A435" s="7" t="s">
        <v>190</v>
      </c>
      <c r="B435" s="7" t="s">
        <v>160</v>
      </c>
      <c r="C435" s="7" t="s">
        <v>251</v>
      </c>
      <c r="D435" s="13">
        <v>19608.0</v>
      </c>
      <c r="E435" s="7" t="s">
        <v>193</v>
      </c>
      <c r="F435" s="13"/>
      <c r="G435" s="14" t="s">
        <v>63</v>
      </c>
      <c r="H435" s="7" t="s">
        <v>240</v>
      </c>
      <c r="I435" s="7" t="s">
        <v>239</v>
      </c>
      <c r="J435" s="7" t="s">
        <v>70</v>
      </c>
      <c r="K435" s="15">
        <v>44354.0</v>
      </c>
      <c r="L435" s="15">
        <v>36757.0</v>
      </c>
      <c r="M435" s="13">
        <v>15366.0</v>
      </c>
      <c r="N435" s="7"/>
      <c r="O435" s="7"/>
      <c r="P435" s="7">
        <v>13.33</v>
      </c>
      <c r="Q435" s="7"/>
      <c r="R435" s="20"/>
      <c r="S435" s="7"/>
      <c r="T435" s="20"/>
      <c r="U435" s="16">
        <f>SUM(Template!$N435:$O435)*Template!$P435+Template!$Q435</f>
        <v>0</v>
      </c>
      <c r="V435" s="17" t="str">
        <f>IF(Template!$M435="CONSELHO","N",IF(Template!$AA435="N","N1",IF(Template!$AA435="N1","N2",IF(Template!$AA435="N2","N3",IF(Template!$AA435="N3","N4",IF(Template!$AA435="N4","N5",IF(Template!$AA435="N5","N6",IF(Template!$AA435="N6","N7",IF(Template!$AA435="N7","N8",IF(Template!$AA435="N8","N9",IF(Template!$AA435="N9","N10","NA")))))))))))</f>
        <v>N4</v>
      </c>
      <c r="W435" s="17">
        <f>COUNTIF(Template!$M$3:$M$619,Template!$D435)</f>
        <v>0</v>
      </c>
      <c r="X435" s="17" t="str">
        <f>IF(Template!$F435="","",SUMIF(Template!$M$3:$M$619,Template!$D435,Template!$AC$3:$AC$619))</f>
        <v/>
      </c>
      <c r="Y435" s="17" t="str">
        <f>IFERROR(VLOOKUP(Template!$M435,Template!$D$3:$G$619,MATCH("EmployeeJobTitle",Template!$D$2:$G$2,0),FALSE),"NA")</f>
        <v>GERENTE DE LOJA</v>
      </c>
      <c r="Z435" s="17" t="str">
        <f>IFERROR(VLOOKUP(Template!$M435,Template!$D$3:$G$619,MATCH("EmployeeGroup",Template!$D$2:$G$2,0),FALSE),"NA")</f>
        <v>GERENTE</v>
      </c>
      <c r="AA435" s="17" t="str">
        <f>IFERROR(VLOOKUP(Template!$M435,Template!$D$3:$V$619,MATCH("Layer",Template!$D$2:$V$2,0),FALSE),"NA")</f>
        <v>N3</v>
      </c>
      <c r="AB435" s="21">
        <f>VLOOKUP(Template!$M435,Template!$D$3:$F$619,MATCH("InternalGrade",Template!$D$2:$F$2,0),FALSE)-Template!$F435</f>
        <v>0</v>
      </c>
      <c r="AC435" s="17">
        <f>IF(Template!$AB435&lt;=1, 0.8,IF(Template!$AB435=2,0.4,IF(Template!$AB435=3,0.2,IF(Template!$AB435=4,0.1,IF(Template!$AB435&gt;=5,0.05,"erro")))))</f>
        <v>0.8</v>
      </c>
      <c r="AD435" s="17" t="b">
        <f>Template!$D435=Template!$M435</f>
        <v>0</v>
      </c>
      <c r="AE435" s="12" t="s">
        <v>58</v>
      </c>
    </row>
    <row r="436" ht="15.75" customHeight="1">
      <c r="A436" s="7" t="s">
        <v>190</v>
      </c>
      <c r="B436" s="7" t="s">
        <v>160</v>
      </c>
      <c r="C436" s="7" t="s">
        <v>251</v>
      </c>
      <c r="D436" s="13">
        <v>17065.0</v>
      </c>
      <c r="E436" s="7" t="s">
        <v>203</v>
      </c>
      <c r="F436" s="13"/>
      <c r="G436" s="14" t="s">
        <v>63</v>
      </c>
      <c r="H436" s="7" t="s">
        <v>240</v>
      </c>
      <c r="I436" s="7" t="s">
        <v>239</v>
      </c>
      <c r="J436" s="7" t="s">
        <v>70</v>
      </c>
      <c r="K436" s="15">
        <v>43353.0</v>
      </c>
      <c r="L436" s="15">
        <v>33576.0</v>
      </c>
      <c r="M436" s="13">
        <v>15366.0</v>
      </c>
      <c r="N436" s="7"/>
      <c r="O436" s="7"/>
      <c r="P436" s="7">
        <v>13.33</v>
      </c>
      <c r="Q436" s="7"/>
      <c r="R436" s="20"/>
      <c r="S436" s="7"/>
      <c r="T436" s="20"/>
      <c r="U436" s="16">
        <f>SUM(Template!$N436:$O436)*Template!$P436+Template!$Q436</f>
        <v>0</v>
      </c>
      <c r="V436" s="17" t="str">
        <f>IF(Template!$M436="CONSELHO","N",IF(Template!$AA436="N","N1",IF(Template!$AA436="N1","N2",IF(Template!$AA436="N2","N3",IF(Template!$AA436="N3","N4",IF(Template!$AA436="N4","N5",IF(Template!$AA436="N5","N6",IF(Template!$AA436="N6","N7",IF(Template!$AA436="N7","N8",IF(Template!$AA436="N8","N9",IF(Template!$AA436="N9","N10","NA")))))))))))</f>
        <v>N4</v>
      </c>
      <c r="W436" s="17">
        <f>COUNTIF(Template!$M$3:$M$619,Template!$D436)</f>
        <v>0</v>
      </c>
      <c r="X436" s="17" t="str">
        <f>IF(Template!$F436="","",SUMIF(Template!$M$3:$M$619,Template!$D436,Template!$AC$3:$AC$619))</f>
        <v/>
      </c>
      <c r="Y436" s="17" t="str">
        <f>IFERROR(VLOOKUP(Template!$M436,Template!$D$3:$G$619,MATCH("EmployeeJobTitle",Template!$D$2:$G$2,0),FALSE),"NA")</f>
        <v>GERENTE DE LOJA</v>
      </c>
      <c r="Z436" s="17" t="str">
        <f>IFERROR(VLOOKUP(Template!$M436,Template!$D$3:$G$619,MATCH("EmployeeGroup",Template!$D$2:$G$2,0),FALSE),"NA")</f>
        <v>GERENTE</v>
      </c>
      <c r="AA436" s="17" t="str">
        <f>IFERROR(VLOOKUP(Template!$M436,Template!$D$3:$V$619,MATCH("Layer",Template!$D$2:$V$2,0),FALSE),"NA")</f>
        <v>N3</v>
      </c>
      <c r="AB436" s="21">
        <f>VLOOKUP(Template!$M436,Template!$D$3:$F$619,MATCH("InternalGrade",Template!$D$2:$F$2,0),FALSE)-Template!$F436</f>
        <v>0</v>
      </c>
      <c r="AC436" s="17">
        <f>IF(Template!$AB436&lt;=1, 0.8,IF(Template!$AB436=2,0.4,IF(Template!$AB436=3,0.2,IF(Template!$AB436=4,0.1,IF(Template!$AB436&gt;=5,0.05,"erro")))))</f>
        <v>0.8</v>
      </c>
      <c r="AD436" s="17" t="b">
        <f>Template!$D436=Template!$M436</f>
        <v>0</v>
      </c>
      <c r="AE436" s="12" t="s">
        <v>58</v>
      </c>
    </row>
    <row r="437" ht="15.75" customHeight="1">
      <c r="A437" s="7" t="s">
        <v>190</v>
      </c>
      <c r="B437" s="7" t="s">
        <v>160</v>
      </c>
      <c r="C437" s="7" t="s">
        <v>251</v>
      </c>
      <c r="D437" s="13">
        <v>19404.0</v>
      </c>
      <c r="E437" s="7" t="s">
        <v>193</v>
      </c>
      <c r="F437" s="13"/>
      <c r="G437" s="14" t="s">
        <v>63</v>
      </c>
      <c r="H437" s="7" t="s">
        <v>240</v>
      </c>
      <c r="I437" s="7" t="s">
        <v>239</v>
      </c>
      <c r="J437" s="7" t="s">
        <v>70</v>
      </c>
      <c r="K437" s="15">
        <v>44245.0</v>
      </c>
      <c r="L437" s="15">
        <v>32108.0</v>
      </c>
      <c r="M437" s="13">
        <v>15366.0</v>
      </c>
      <c r="N437" s="7"/>
      <c r="O437" s="7"/>
      <c r="P437" s="7">
        <v>13.33</v>
      </c>
      <c r="Q437" s="7"/>
      <c r="R437" s="20"/>
      <c r="S437" s="7"/>
      <c r="T437" s="20"/>
      <c r="U437" s="16">
        <f>SUM(Template!$N437:$O437)*Template!$P437+Template!$Q437</f>
        <v>0</v>
      </c>
      <c r="V437" s="17" t="str">
        <f>IF(Template!$M437="CONSELHO","N",IF(Template!$AA437="N","N1",IF(Template!$AA437="N1","N2",IF(Template!$AA437="N2","N3",IF(Template!$AA437="N3","N4",IF(Template!$AA437="N4","N5",IF(Template!$AA437="N5","N6",IF(Template!$AA437="N6","N7",IF(Template!$AA437="N7","N8",IF(Template!$AA437="N8","N9",IF(Template!$AA437="N9","N10","NA")))))))))))</f>
        <v>N4</v>
      </c>
      <c r="W437" s="17">
        <f>COUNTIF(Template!$M$3:$M$619,Template!$D437)</f>
        <v>0</v>
      </c>
      <c r="X437" s="17" t="str">
        <f>IF(Template!$F437="","",SUMIF(Template!$M$3:$M$619,Template!$D437,Template!$AC$3:$AC$619))</f>
        <v/>
      </c>
      <c r="Y437" s="17" t="str">
        <f>IFERROR(VLOOKUP(Template!$M437,Template!$D$3:$G$619,MATCH("EmployeeJobTitle",Template!$D$2:$G$2,0),FALSE),"NA")</f>
        <v>GERENTE DE LOJA</v>
      </c>
      <c r="Z437" s="17" t="str">
        <f>IFERROR(VLOOKUP(Template!$M437,Template!$D$3:$G$619,MATCH("EmployeeGroup",Template!$D$2:$G$2,0),FALSE),"NA")</f>
        <v>GERENTE</v>
      </c>
      <c r="AA437" s="17" t="str">
        <f>IFERROR(VLOOKUP(Template!$M437,Template!$D$3:$V$619,MATCH("Layer",Template!$D$2:$V$2,0),FALSE),"NA")</f>
        <v>N3</v>
      </c>
      <c r="AB437" s="21">
        <f>VLOOKUP(Template!$M437,Template!$D$3:$F$619,MATCH("InternalGrade",Template!$D$2:$F$2,0),FALSE)-Template!$F437</f>
        <v>0</v>
      </c>
      <c r="AC437" s="17">
        <f>IF(Template!$AB437&lt;=1, 0.8,IF(Template!$AB437=2,0.4,IF(Template!$AB437=3,0.2,IF(Template!$AB437=4,0.1,IF(Template!$AB437&gt;=5,0.05,"erro")))))</f>
        <v>0.8</v>
      </c>
      <c r="AD437" s="17" t="b">
        <f>Template!$D437=Template!$M437</f>
        <v>0</v>
      </c>
      <c r="AE437" s="12" t="s">
        <v>58</v>
      </c>
    </row>
    <row r="438" ht="15.75" customHeight="1">
      <c r="A438" s="7" t="s">
        <v>190</v>
      </c>
      <c r="B438" s="7" t="s">
        <v>160</v>
      </c>
      <c r="C438" s="7" t="s">
        <v>251</v>
      </c>
      <c r="D438" s="13">
        <v>25047.0</v>
      </c>
      <c r="E438" s="7" t="s">
        <v>193</v>
      </c>
      <c r="F438" s="13"/>
      <c r="G438" s="14" t="s">
        <v>63</v>
      </c>
      <c r="H438" s="7" t="s">
        <v>240</v>
      </c>
      <c r="I438" s="7" t="s">
        <v>239</v>
      </c>
      <c r="J438" s="7" t="s">
        <v>70</v>
      </c>
      <c r="K438" s="15">
        <v>45418.0</v>
      </c>
      <c r="L438" s="15">
        <v>37759.0</v>
      </c>
      <c r="M438" s="13">
        <v>15366.0</v>
      </c>
      <c r="N438" s="7"/>
      <c r="O438" s="7"/>
      <c r="P438" s="7">
        <v>13.33</v>
      </c>
      <c r="Q438" s="7"/>
      <c r="R438" s="20"/>
      <c r="S438" s="7"/>
      <c r="T438" s="20"/>
      <c r="U438" s="16">
        <f>SUM(Template!$N438:$O438)*Template!$P438+Template!$Q438</f>
        <v>0</v>
      </c>
      <c r="V438" s="17" t="str">
        <f>IF(Template!$M438="CONSELHO","N",IF(Template!$AA438="N","N1",IF(Template!$AA438="N1","N2",IF(Template!$AA438="N2","N3",IF(Template!$AA438="N3","N4",IF(Template!$AA438="N4","N5",IF(Template!$AA438="N5","N6",IF(Template!$AA438="N6","N7",IF(Template!$AA438="N7","N8",IF(Template!$AA438="N8","N9",IF(Template!$AA438="N9","N10","NA")))))))))))</f>
        <v>N4</v>
      </c>
      <c r="W438" s="17">
        <f>COUNTIF(Template!$M$3:$M$619,Template!$D438)</f>
        <v>0</v>
      </c>
      <c r="X438" s="17" t="str">
        <f>IF(Template!$F438="","",SUMIF(Template!$M$3:$M$619,Template!$D438,Template!$AC$3:$AC$619))</f>
        <v/>
      </c>
      <c r="Y438" s="17" t="str">
        <f>IFERROR(VLOOKUP(Template!$M438,Template!$D$3:$G$619,MATCH("EmployeeJobTitle",Template!$D$2:$G$2,0),FALSE),"NA")</f>
        <v>GERENTE DE LOJA</v>
      </c>
      <c r="Z438" s="17" t="str">
        <f>IFERROR(VLOOKUP(Template!$M438,Template!$D$3:$G$619,MATCH("EmployeeGroup",Template!$D$2:$G$2,0),FALSE),"NA")</f>
        <v>GERENTE</v>
      </c>
      <c r="AA438" s="17" t="str">
        <f>IFERROR(VLOOKUP(Template!$M438,Template!$D$3:$V$619,MATCH("Layer",Template!$D$2:$V$2,0),FALSE),"NA")</f>
        <v>N3</v>
      </c>
      <c r="AB438" s="21">
        <f>VLOOKUP(Template!$M438,Template!$D$3:$F$619,MATCH("InternalGrade",Template!$D$2:$F$2,0),FALSE)-Template!$F438</f>
        <v>0</v>
      </c>
      <c r="AC438" s="17">
        <f>IF(Template!$AB438&lt;=1, 0.8,IF(Template!$AB438=2,0.4,IF(Template!$AB438=3,0.2,IF(Template!$AB438=4,0.1,IF(Template!$AB438&gt;=5,0.05,"erro")))))</f>
        <v>0.8</v>
      </c>
      <c r="AD438" s="17" t="b">
        <f>Template!$D438=Template!$M438</f>
        <v>0</v>
      </c>
      <c r="AE438" s="12" t="s">
        <v>58</v>
      </c>
    </row>
    <row r="439" ht="15.75" customHeight="1">
      <c r="A439" s="7" t="s">
        <v>190</v>
      </c>
      <c r="B439" s="7" t="s">
        <v>160</v>
      </c>
      <c r="C439" s="7" t="s">
        <v>251</v>
      </c>
      <c r="D439" s="13">
        <v>18035.0</v>
      </c>
      <c r="E439" s="7" t="s">
        <v>193</v>
      </c>
      <c r="F439" s="13"/>
      <c r="G439" s="14" t="s">
        <v>63</v>
      </c>
      <c r="H439" s="7" t="s">
        <v>240</v>
      </c>
      <c r="I439" s="7" t="s">
        <v>239</v>
      </c>
      <c r="J439" s="7" t="s">
        <v>70</v>
      </c>
      <c r="K439" s="15">
        <v>43787.0</v>
      </c>
      <c r="L439" s="15">
        <v>28149.0</v>
      </c>
      <c r="M439" s="13">
        <v>15366.0</v>
      </c>
      <c r="N439" s="7"/>
      <c r="O439" s="7"/>
      <c r="P439" s="7">
        <v>13.33</v>
      </c>
      <c r="Q439" s="7"/>
      <c r="R439" s="20"/>
      <c r="S439" s="7"/>
      <c r="T439" s="20"/>
      <c r="U439" s="16">
        <f>SUM(Template!$N439:$O439)*Template!$P439+Template!$Q439</f>
        <v>0</v>
      </c>
      <c r="V439" s="17" t="str">
        <f>IF(Template!$M439="CONSELHO","N",IF(Template!$AA439="N","N1",IF(Template!$AA439="N1","N2",IF(Template!$AA439="N2","N3",IF(Template!$AA439="N3","N4",IF(Template!$AA439="N4","N5",IF(Template!$AA439="N5","N6",IF(Template!$AA439="N6","N7",IF(Template!$AA439="N7","N8",IF(Template!$AA439="N8","N9",IF(Template!$AA439="N9","N10","NA")))))))))))</f>
        <v>N4</v>
      </c>
      <c r="W439" s="17">
        <f>COUNTIF(Template!$M$3:$M$619,Template!$D439)</f>
        <v>0</v>
      </c>
      <c r="X439" s="17" t="str">
        <f>IF(Template!$F439="","",SUMIF(Template!$M$3:$M$619,Template!$D439,Template!$AC$3:$AC$619))</f>
        <v/>
      </c>
      <c r="Y439" s="17" t="str">
        <f>IFERROR(VLOOKUP(Template!$M439,Template!$D$3:$G$619,MATCH("EmployeeJobTitle",Template!$D$2:$G$2,0),FALSE),"NA")</f>
        <v>GERENTE DE LOJA</v>
      </c>
      <c r="Z439" s="17" t="str">
        <f>IFERROR(VLOOKUP(Template!$M439,Template!$D$3:$G$619,MATCH("EmployeeGroup",Template!$D$2:$G$2,0),FALSE),"NA")</f>
        <v>GERENTE</v>
      </c>
      <c r="AA439" s="17" t="str">
        <f>IFERROR(VLOOKUP(Template!$M439,Template!$D$3:$V$619,MATCH("Layer",Template!$D$2:$V$2,0),FALSE),"NA")</f>
        <v>N3</v>
      </c>
      <c r="AB439" s="21">
        <f>VLOOKUP(Template!$M439,Template!$D$3:$F$619,MATCH("InternalGrade",Template!$D$2:$F$2,0),FALSE)-Template!$F439</f>
        <v>0</v>
      </c>
      <c r="AC439" s="17">
        <f>IF(Template!$AB439&lt;=1, 0.8,IF(Template!$AB439=2,0.4,IF(Template!$AB439=3,0.2,IF(Template!$AB439=4,0.1,IF(Template!$AB439&gt;=5,0.05,"erro")))))</f>
        <v>0.8</v>
      </c>
      <c r="AD439" s="17" t="b">
        <f>Template!$D439=Template!$M439</f>
        <v>0</v>
      </c>
      <c r="AE439" s="12" t="s">
        <v>58</v>
      </c>
    </row>
    <row r="440" ht="15.75" customHeight="1">
      <c r="A440" s="7" t="s">
        <v>190</v>
      </c>
      <c r="B440" s="7" t="s">
        <v>160</v>
      </c>
      <c r="C440" s="7" t="s">
        <v>251</v>
      </c>
      <c r="D440" s="13">
        <v>24875.0</v>
      </c>
      <c r="E440" s="7" t="s">
        <v>196</v>
      </c>
      <c r="F440" s="13"/>
      <c r="G440" s="14" t="s">
        <v>63</v>
      </c>
      <c r="H440" s="7" t="s">
        <v>240</v>
      </c>
      <c r="I440" s="7" t="s">
        <v>239</v>
      </c>
      <c r="J440" s="7" t="s">
        <v>70</v>
      </c>
      <c r="K440" s="15">
        <v>45343.0</v>
      </c>
      <c r="L440" s="15">
        <v>32042.0</v>
      </c>
      <c r="M440" s="13">
        <v>15366.0</v>
      </c>
      <c r="N440" s="7">
        <v>1581.35</v>
      </c>
      <c r="O440" s="7"/>
      <c r="P440" s="7">
        <v>13.33</v>
      </c>
      <c r="Q440" s="7"/>
      <c r="R440" s="20"/>
      <c r="S440" s="7"/>
      <c r="T440" s="20"/>
      <c r="U440" s="16">
        <f>SUM(Template!$N440:$O440)*Template!$P440+Template!$Q440</f>
        <v>21079.3955</v>
      </c>
      <c r="V440" s="17" t="str">
        <f>IF(Template!$M440="CONSELHO","N",IF(Template!$AA440="N","N1",IF(Template!$AA440="N1","N2",IF(Template!$AA440="N2","N3",IF(Template!$AA440="N3","N4",IF(Template!$AA440="N4","N5",IF(Template!$AA440="N5","N6",IF(Template!$AA440="N6","N7",IF(Template!$AA440="N7","N8",IF(Template!$AA440="N8","N9",IF(Template!$AA440="N9","N10","NA")))))))))))</f>
        <v>N4</v>
      </c>
      <c r="W440" s="17">
        <f>COUNTIF(Template!$M$3:$M$619,Template!$D440)</f>
        <v>0</v>
      </c>
      <c r="X440" s="17" t="str">
        <f>IF(Template!$F440="","",SUMIF(Template!$M$3:$M$619,Template!$D440,Template!$AC$3:$AC$619))</f>
        <v/>
      </c>
      <c r="Y440" s="17" t="str">
        <f>IFERROR(VLOOKUP(Template!$M440,Template!$D$3:$G$619,MATCH("EmployeeJobTitle",Template!$D$2:$G$2,0),FALSE),"NA")</f>
        <v>GERENTE DE LOJA</v>
      </c>
      <c r="Z440" s="17" t="str">
        <f>IFERROR(VLOOKUP(Template!$M440,Template!$D$3:$G$619,MATCH("EmployeeGroup",Template!$D$2:$G$2,0),FALSE),"NA")</f>
        <v>GERENTE</v>
      </c>
      <c r="AA440" s="17" t="str">
        <f>IFERROR(VLOOKUP(Template!$M440,Template!$D$3:$V$619,MATCH("Layer",Template!$D$2:$V$2,0),FALSE),"NA")</f>
        <v>N3</v>
      </c>
      <c r="AB440" s="21">
        <f>VLOOKUP(Template!$M440,Template!$D$3:$F$619,MATCH("InternalGrade",Template!$D$2:$F$2,0),FALSE)-Template!$F440</f>
        <v>0</v>
      </c>
      <c r="AC440" s="17">
        <f>IF(Template!$AB440&lt;=1, 0.8,IF(Template!$AB440=2,0.4,IF(Template!$AB440=3,0.2,IF(Template!$AB440=4,0.1,IF(Template!$AB440&gt;=5,0.05,"erro")))))</f>
        <v>0.8</v>
      </c>
      <c r="AD440" s="17" t="b">
        <f>Template!$D440=Template!$M440</f>
        <v>0</v>
      </c>
      <c r="AE440" s="12" t="s">
        <v>58</v>
      </c>
    </row>
    <row r="441" ht="15.75" customHeight="1">
      <c r="A441" s="7" t="s">
        <v>190</v>
      </c>
      <c r="B441" s="7" t="s">
        <v>160</v>
      </c>
      <c r="C441" s="7" t="s">
        <v>251</v>
      </c>
      <c r="D441" s="13">
        <v>18037.0</v>
      </c>
      <c r="E441" s="7" t="s">
        <v>204</v>
      </c>
      <c r="F441" s="13"/>
      <c r="G441" s="14" t="s">
        <v>63</v>
      </c>
      <c r="H441" s="7" t="s">
        <v>240</v>
      </c>
      <c r="I441" s="7" t="s">
        <v>239</v>
      </c>
      <c r="J441" s="7" t="s">
        <v>70</v>
      </c>
      <c r="K441" s="15">
        <v>43787.0</v>
      </c>
      <c r="L441" s="15">
        <v>34319.0</v>
      </c>
      <c r="M441" s="13">
        <v>15366.0</v>
      </c>
      <c r="N441" s="7"/>
      <c r="O441" s="7"/>
      <c r="P441" s="7">
        <v>13.33</v>
      </c>
      <c r="Q441" s="7"/>
      <c r="R441" s="20"/>
      <c r="S441" s="7"/>
      <c r="T441" s="20"/>
      <c r="U441" s="16">
        <f>SUM(Template!$N441:$O441)*Template!$P441+Template!$Q441</f>
        <v>0</v>
      </c>
      <c r="V441" s="17" t="str">
        <f>IF(Template!$M441="CONSELHO","N",IF(Template!$AA441="N","N1",IF(Template!$AA441="N1","N2",IF(Template!$AA441="N2","N3",IF(Template!$AA441="N3","N4",IF(Template!$AA441="N4","N5",IF(Template!$AA441="N5","N6",IF(Template!$AA441="N6","N7",IF(Template!$AA441="N7","N8",IF(Template!$AA441="N8","N9",IF(Template!$AA441="N9","N10","NA")))))))))))</f>
        <v>N4</v>
      </c>
      <c r="W441" s="17">
        <f>COUNTIF(Template!$M$3:$M$619,Template!$D441)</f>
        <v>0</v>
      </c>
      <c r="X441" s="17" t="str">
        <f>IF(Template!$F441="","",SUMIF(Template!$M$3:$M$619,Template!$D441,Template!$AC$3:$AC$619))</f>
        <v/>
      </c>
      <c r="Y441" s="17" t="str">
        <f>IFERROR(VLOOKUP(Template!$M441,Template!$D$3:$G$619,MATCH("EmployeeJobTitle",Template!$D$2:$G$2,0),FALSE),"NA")</f>
        <v>GERENTE DE LOJA</v>
      </c>
      <c r="Z441" s="17" t="str">
        <f>IFERROR(VLOOKUP(Template!$M441,Template!$D$3:$G$619,MATCH("EmployeeGroup",Template!$D$2:$G$2,0),FALSE),"NA")</f>
        <v>GERENTE</v>
      </c>
      <c r="AA441" s="17" t="str">
        <f>IFERROR(VLOOKUP(Template!$M441,Template!$D$3:$V$619,MATCH("Layer",Template!$D$2:$V$2,0),FALSE),"NA")</f>
        <v>N3</v>
      </c>
      <c r="AB441" s="21">
        <f>VLOOKUP(Template!$M441,Template!$D$3:$F$619,MATCH("InternalGrade",Template!$D$2:$F$2,0),FALSE)-Template!$F441</f>
        <v>0</v>
      </c>
      <c r="AC441" s="17">
        <f>IF(Template!$AB441&lt;=1, 0.8,IF(Template!$AB441=2,0.4,IF(Template!$AB441=3,0.2,IF(Template!$AB441=4,0.1,IF(Template!$AB441&gt;=5,0.05,"erro")))))</f>
        <v>0.8</v>
      </c>
      <c r="AD441" s="17" t="b">
        <f>Template!$D441=Template!$M441</f>
        <v>0</v>
      </c>
      <c r="AE441" s="12" t="s">
        <v>58</v>
      </c>
    </row>
    <row r="442" ht="15.75" customHeight="1">
      <c r="A442" s="7" t="s">
        <v>190</v>
      </c>
      <c r="B442" s="7" t="s">
        <v>160</v>
      </c>
      <c r="C442" s="7" t="s">
        <v>251</v>
      </c>
      <c r="D442" s="13">
        <v>24248.0</v>
      </c>
      <c r="E442" s="7" t="s">
        <v>198</v>
      </c>
      <c r="F442" s="13"/>
      <c r="G442" s="14" t="s">
        <v>63</v>
      </c>
      <c r="H442" s="7" t="s">
        <v>240</v>
      </c>
      <c r="I442" s="7" t="s">
        <v>239</v>
      </c>
      <c r="J442" s="7" t="s">
        <v>70</v>
      </c>
      <c r="K442" s="15">
        <v>45166.0</v>
      </c>
      <c r="L442" s="15">
        <v>29666.0</v>
      </c>
      <c r="M442" s="13">
        <v>15366.0</v>
      </c>
      <c r="N442" s="7">
        <v>1581.35</v>
      </c>
      <c r="O442" s="7"/>
      <c r="P442" s="7">
        <v>13.33</v>
      </c>
      <c r="Q442" s="7"/>
      <c r="R442" s="20"/>
      <c r="S442" s="7"/>
      <c r="T442" s="20"/>
      <c r="U442" s="16">
        <f>SUM(Template!$N442:$O442)*Template!$P442+Template!$Q442</f>
        <v>21079.3955</v>
      </c>
      <c r="V442" s="17" t="str">
        <f>IF(Template!$M442="CONSELHO","N",IF(Template!$AA442="N","N1",IF(Template!$AA442="N1","N2",IF(Template!$AA442="N2","N3",IF(Template!$AA442="N3","N4",IF(Template!$AA442="N4","N5",IF(Template!$AA442="N5","N6",IF(Template!$AA442="N6","N7",IF(Template!$AA442="N7","N8",IF(Template!$AA442="N8","N9",IF(Template!$AA442="N9","N10","NA")))))))))))</f>
        <v>N4</v>
      </c>
      <c r="W442" s="17">
        <f>COUNTIF(Template!$M$3:$M$619,Template!$D442)</f>
        <v>0</v>
      </c>
      <c r="X442" s="17" t="str">
        <f>IF(Template!$F442="","",SUMIF(Template!$M$3:$M$619,Template!$D442,Template!$AC$3:$AC$619))</f>
        <v/>
      </c>
      <c r="Y442" s="17" t="str">
        <f>IFERROR(VLOOKUP(Template!$M442,Template!$D$3:$G$619,MATCH("EmployeeJobTitle",Template!$D$2:$G$2,0),FALSE),"NA")</f>
        <v>GERENTE DE LOJA</v>
      </c>
      <c r="Z442" s="17" t="str">
        <f>IFERROR(VLOOKUP(Template!$M442,Template!$D$3:$G$619,MATCH("EmployeeGroup",Template!$D$2:$G$2,0),FALSE),"NA")</f>
        <v>GERENTE</v>
      </c>
      <c r="AA442" s="17" t="str">
        <f>IFERROR(VLOOKUP(Template!$M442,Template!$D$3:$V$619,MATCH("Layer",Template!$D$2:$V$2,0),FALSE),"NA")</f>
        <v>N3</v>
      </c>
      <c r="AB442" s="21">
        <f>VLOOKUP(Template!$M442,Template!$D$3:$F$619,MATCH("InternalGrade",Template!$D$2:$F$2,0),FALSE)-Template!$F442</f>
        <v>0</v>
      </c>
      <c r="AC442" s="17">
        <f>IF(Template!$AB442&lt;=1, 0.8,IF(Template!$AB442=2,0.4,IF(Template!$AB442=3,0.2,IF(Template!$AB442=4,0.1,IF(Template!$AB442&gt;=5,0.05,"erro")))))</f>
        <v>0.8</v>
      </c>
      <c r="AD442" s="17" t="b">
        <f>Template!$D442=Template!$M442</f>
        <v>0</v>
      </c>
      <c r="AE442" s="12" t="s">
        <v>58</v>
      </c>
    </row>
    <row r="443" ht="15.75" customHeight="1">
      <c r="A443" s="7" t="s">
        <v>190</v>
      </c>
      <c r="B443" s="7" t="s">
        <v>160</v>
      </c>
      <c r="C443" s="7" t="s">
        <v>251</v>
      </c>
      <c r="D443" s="13">
        <v>16316.0</v>
      </c>
      <c r="E443" s="7" t="s">
        <v>193</v>
      </c>
      <c r="F443" s="13"/>
      <c r="G443" s="14" t="s">
        <v>63</v>
      </c>
      <c r="H443" s="7" t="s">
        <v>240</v>
      </c>
      <c r="I443" s="7" t="s">
        <v>239</v>
      </c>
      <c r="J443" s="7" t="s">
        <v>70</v>
      </c>
      <c r="K443" s="15">
        <v>43040.0</v>
      </c>
      <c r="L443" s="15">
        <v>33984.0</v>
      </c>
      <c r="M443" s="13">
        <v>15366.0</v>
      </c>
      <c r="N443" s="7"/>
      <c r="O443" s="7"/>
      <c r="P443" s="7">
        <v>13.33</v>
      </c>
      <c r="Q443" s="7"/>
      <c r="R443" s="20"/>
      <c r="S443" s="7"/>
      <c r="T443" s="20"/>
      <c r="U443" s="16">
        <f>SUM(Template!$N443:$O443)*Template!$P443+Template!$Q443</f>
        <v>0</v>
      </c>
      <c r="V443" s="17" t="str">
        <f>IF(Template!$M443="CONSELHO","N",IF(Template!$AA443="N","N1",IF(Template!$AA443="N1","N2",IF(Template!$AA443="N2","N3",IF(Template!$AA443="N3","N4",IF(Template!$AA443="N4","N5",IF(Template!$AA443="N5","N6",IF(Template!$AA443="N6","N7",IF(Template!$AA443="N7","N8",IF(Template!$AA443="N8","N9",IF(Template!$AA443="N9","N10","NA")))))))))))</f>
        <v>N4</v>
      </c>
      <c r="W443" s="17">
        <f>COUNTIF(Template!$M$3:$M$619,Template!$D443)</f>
        <v>0</v>
      </c>
      <c r="X443" s="17" t="str">
        <f>IF(Template!$F443="","",SUMIF(Template!$M$3:$M$619,Template!$D443,Template!$AC$3:$AC$619))</f>
        <v/>
      </c>
      <c r="Y443" s="17" t="str">
        <f>IFERROR(VLOOKUP(Template!$M443,Template!$D$3:$G$619,MATCH("EmployeeJobTitle",Template!$D$2:$G$2,0),FALSE),"NA")</f>
        <v>GERENTE DE LOJA</v>
      </c>
      <c r="Z443" s="17" t="str">
        <f>IFERROR(VLOOKUP(Template!$M443,Template!$D$3:$G$619,MATCH("EmployeeGroup",Template!$D$2:$G$2,0),FALSE),"NA")</f>
        <v>GERENTE</v>
      </c>
      <c r="AA443" s="17" t="str">
        <f>IFERROR(VLOOKUP(Template!$M443,Template!$D$3:$V$619,MATCH("Layer",Template!$D$2:$V$2,0),FALSE),"NA")</f>
        <v>N3</v>
      </c>
      <c r="AB443" s="21">
        <f>VLOOKUP(Template!$M443,Template!$D$3:$F$619,MATCH("InternalGrade",Template!$D$2:$F$2,0),FALSE)-Template!$F443</f>
        <v>0</v>
      </c>
      <c r="AC443" s="17">
        <f>IF(Template!$AB443&lt;=1, 0.8,IF(Template!$AB443=2,0.4,IF(Template!$AB443=3,0.2,IF(Template!$AB443=4,0.1,IF(Template!$AB443&gt;=5,0.05,"erro")))))</f>
        <v>0.8</v>
      </c>
      <c r="AD443" s="17" t="b">
        <f>Template!$D443=Template!$M443</f>
        <v>0</v>
      </c>
      <c r="AE443" s="12" t="s">
        <v>58</v>
      </c>
    </row>
    <row r="444" ht="15.75" customHeight="1">
      <c r="A444" s="7" t="s">
        <v>190</v>
      </c>
      <c r="B444" s="7" t="s">
        <v>160</v>
      </c>
      <c r="C444" s="7" t="s">
        <v>251</v>
      </c>
      <c r="D444" s="13">
        <v>22783.0</v>
      </c>
      <c r="E444" s="7" t="s">
        <v>193</v>
      </c>
      <c r="F444" s="13"/>
      <c r="G444" s="14" t="s">
        <v>63</v>
      </c>
      <c r="H444" s="7" t="s">
        <v>240</v>
      </c>
      <c r="I444" s="7" t="s">
        <v>239</v>
      </c>
      <c r="J444" s="7" t="s">
        <v>70</v>
      </c>
      <c r="K444" s="15">
        <v>44887.0</v>
      </c>
      <c r="L444" s="15">
        <v>28729.0</v>
      </c>
      <c r="M444" s="13">
        <v>15366.0</v>
      </c>
      <c r="N444" s="7"/>
      <c r="O444" s="7"/>
      <c r="P444" s="7">
        <v>13.33</v>
      </c>
      <c r="Q444" s="7"/>
      <c r="R444" s="20"/>
      <c r="S444" s="7"/>
      <c r="T444" s="20"/>
      <c r="U444" s="16">
        <f>SUM(Template!$N444:$O444)*Template!$P444+Template!$Q444</f>
        <v>0</v>
      </c>
      <c r="V444" s="17" t="str">
        <f>IF(Template!$M444="CONSELHO","N",IF(Template!$AA444="N","N1",IF(Template!$AA444="N1","N2",IF(Template!$AA444="N2","N3",IF(Template!$AA444="N3","N4",IF(Template!$AA444="N4","N5",IF(Template!$AA444="N5","N6",IF(Template!$AA444="N6","N7",IF(Template!$AA444="N7","N8",IF(Template!$AA444="N8","N9",IF(Template!$AA444="N9","N10","NA")))))))))))</f>
        <v>N4</v>
      </c>
      <c r="W444" s="17">
        <f>COUNTIF(Template!$M$3:$M$619,Template!$D444)</f>
        <v>0</v>
      </c>
      <c r="X444" s="17" t="str">
        <f>IF(Template!$F444="","",SUMIF(Template!$M$3:$M$619,Template!$D444,Template!$AC$3:$AC$619))</f>
        <v/>
      </c>
      <c r="Y444" s="17" t="str">
        <f>IFERROR(VLOOKUP(Template!$M444,Template!$D$3:$G$619,MATCH("EmployeeJobTitle",Template!$D$2:$G$2,0),FALSE),"NA")</f>
        <v>GERENTE DE LOJA</v>
      </c>
      <c r="Z444" s="17" t="str">
        <f>IFERROR(VLOOKUP(Template!$M444,Template!$D$3:$G$619,MATCH("EmployeeGroup",Template!$D$2:$G$2,0),FALSE),"NA")</f>
        <v>GERENTE</v>
      </c>
      <c r="AA444" s="17" t="str">
        <f>IFERROR(VLOOKUP(Template!$M444,Template!$D$3:$V$619,MATCH("Layer",Template!$D$2:$V$2,0),FALSE),"NA")</f>
        <v>N3</v>
      </c>
      <c r="AB444" s="21">
        <f>VLOOKUP(Template!$M444,Template!$D$3:$F$619,MATCH("InternalGrade",Template!$D$2:$F$2,0),FALSE)-Template!$F444</f>
        <v>0</v>
      </c>
      <c r="AC444" s="17">
        <f>IF(Template!$AB444&lt;=1, 0.8,IF(Template!$AB444=2,0.4,IF(Template!$AB444=3,0.2,IF(Template!$AB444=4,0.1,IF(Template!$AB444&gt;=5,0.05,"erro")))))</f>
        <v>0.8</v>
      </c>
      <c r="AD444" s="17" t="b">
        <f>Template!$D444=Template!$M444</f>
        <v>0</v>
      </c>
      <c r="AE444" s="12" t="s">
        <v>58</v>
      </c>
    </row>
    <row r="445" ht="15.75" customHeight="1">
      <c r="A445" s="7" t="s">
        <v>190</v>
      </c>
      <c r="B445" s="7" t="s">
        <v>160</v>
      </c>
      <c r="C445" s="7" t="s">
        <v>251</v>
      </c>
      <c r="D445" s="13">
        <v>15366.0</v>
      </c>
      <c r="E445" s="7" t="s">
        <v>199</v>
      </c>
      <c r="F445" s="13"/>
      <c r="G445" s="22" t="s">
        <v>200</v>
      </c>
      <c r="H445" s="7" t="s">
        <v>240</v>
      </c>
      <c r="I445" s="7" t="s">
        <v>239</v>
      </c>
      <c r="J445" s="7" t="s">
        <v>70</v>
      </c>
      <c r="K445" s="15">
        <v>42683.0</v>
      </c>
      <c r="L445" s="15">
        <v>30930.0</v>
      </c>
      <c r="M445" s="13">
        <v>12404.0</v>
      </c>
      <c r="N445" s="7">
        <v>6681.0</v>
      </c>
      <c r="O445" s="7"/>
      <c r="P445" s="7">
        <v>13.33</v>
      </c>
      <c r="Q445" s="7"/>
      <c r="R445" s="20"/>
      <c r="S445" s="7"/>
      <c r="T445" s="20"/>
      <c r="U445" s="16">
        <f>SUM(Template!$N445:$O445)*Template!$P445+Template!$Q445</f>
        <v>89057.73</v>
      </c>
      <c r="V445" s="17" t="str">
        <f>IF(Template!$M445="CONSELHO","N",IF(Template!$AA445="N","N1",IF(Template!$AA445="N1","N2",IF(Template!$AA445="N2","N3",IF(Template!$AA445="N3","N4",IF(Template!$AA445="N4","N5",IF(Template!$AA445="N5","N6",IF(Template!$AA445="N6","N7",IF(Template!$AA445="N7","N8",IF(Template!$AA445="N8","N9",IF(Template!$AA445="N9","N10","NA")))))))))))</f>
        <v>N3</v>
      </c>
      <c r="W445" s="17">
        <f>COUNTIF(Template!$M$3:$M$619,Template!$D445)</f>
        <v>15</v>
      </c>
      <c r="X445" s="17" t="str">
        <f>IF(Template!$F445="","",SUMIF(Template!$M$3:$M$619,Template!$D445,Template!$AC$3:$AC$619))</f>
        <v/>
      </c>
      <c r="Y445" s="17" t="str">
        <f>IFERROR(VLOOKUP(Template!$M445,Template!$D$3:$G$619,MATCH("EmployeeJobTitle",Template!$D$2:$G$2,0),FALSE),"NA")</f>
        <v>GERENTE COMERCIAL</v>
      </c>
      <c r="Z445" s="17" t="str">
        <f>IFERROR(VLOOKUP(Template!$M445,Template!$D$3:$G$619,MATCH("EmployeeGroup",Template!$D$2:$G$2,0),FALSE),"NA")</f>
        <v>Coordenador</v>
      </c>
      <c r="AA445" s="17" t="str">
        <f>IFERROR(VLOOKUP(Template!$M445,Template!$D$3:$V$619,MATCH("Layer",Template!$D$2:$V$2,0),FALSE),"NA")</f>
        <v>N2</v>
      </c>
      <c r="AB445" s="21">
        <f>VLOOKUP(Template!$M445,Template!$D$3:$F$619,MATCH("InternalGrade",Template!$D$2:$F$2,0),FALSE)-Template!$F445</f>
        <v>19</v>
      </c>
      <c r="AC445" s="17">
        <f>IF(Template!$AB445&lt;=1, 0.8,IF(Template!$AB445=2,0.4,IF(Template!$AB445=3,0.2,IF(Template!$AB445=4,0.1,IF(Template!$AB445&gt;=5,0.05,"erro")))))</f>
        <v>0.05</v>
      </c>
      <c r="AD445" s="17" t="b">
        <f>Template!$D445=Template!$M445</f>
        <v>0</v>
      </c>
      <c r="AE445" s="12" t="s">
        <v>58</v>
      </c>
    </row>
    <row r="446" ht="15.75" customHeight="1">
      <c r="A446" s="7" t="s">
        <v>190</v>
      </c>
      <c r="B446" s="7" t="s">
        <v>160</v>
      </c>
      <c r="C446" s="7" t="s">
        <v>252</v>
      </c>
      <c r="D446" s="13">
        <v>20184.0</v>
      </c>
      <c r="E446" s="7" t="s">
        <v>193</v>
      </c>
      <c r="F446" s="13"/>
      <c r="G446" s="14" t="s">
        <v>63</v>
      </c>
      <c r="H446" s="7" t="s">
        <v>221</v>
      </c>
      <c r="I446" s="7" t="s">
        <v>222</v>
      </c>
      <c r="J446" s="7" t="s">
        <v>70</v>
      </c>
      <c r="K446" s="15">
        <v>44531.0</v>
      </c>
      <c r="L446" s="15">
        <v>34606.0</v>
      </c>
      <c r="M446" s="13">
        <v>11090.0</v>
      </c>
      <c r="N446" s="7"/>
      <c r="O446" s="7"/>
      <c r="P446" s="7">
        <v>13.33</v>
      </c>
      <c r="Q446" s="7"/>
      <c r="R446" s="20"/>
      <c r="S446" s="7"/>
      <c r="T446" s="20"/>
      <c r="U446" s="16">
        <f>SUM(Template!$N446:$O446)*Template!$P446+Template!$Q446</f>
        <v>0</v>
      </c>
      <c r="V446" s="17" t="str">
        <f>IF(Template!$M446="CONSELHO","N",IF(Template!$AA446="N","N1",IF(Template!$AA446="N1","N2",IF(Template!$AA446="N2","N3",IF(Template!$AA446="N3","N4",IF(Template!$AA446="N4","N5",IF(Template!$AA446="N5","N6",IF(Template!$AA446="N6","N7",IF(Template!$AA446="N7","N8",IF(Template!$AA446="N8","N9",IF(Template!$AA446="N9","N10","NA")))))))))))</f>
        <v>N4</v>
      </c>
      <c r="W446" s="17">
        <f>COUNTIF(Template!$M$3:$M$619,Template!$D446)</f>
        <v>0</v>
      </c>
      <c r="X446" s="17" t="str">
        <f>IF(Template!$F446="","",SUMIF(Template!$M$3:$M$619,Template!$D446,Template!$AC$3:$AC$619))</f>
        <v/>
      </c>
      <c r="Y446" s="17" t="str">
        <f>IFERROR(VLOOKUP(Template!$M446,Template!$D$3:$G$619,MATCH("EmployeeJobTitle",Template!$D$2:$G$2,0),FALSE),"NA")</f>
        <v>GERENTE DE LOJA</v>
      </c>
      <c r="Z446" s="17" t="str">
        <f>IFERROR(VLOOKUP(Template!$M446,Template!$D$3:$G$619,MATCH("EmployeeGroup",Template!$D$2:$G$2,0),FALSE),"NA")</f>
        <v>GERENTE</v>
      </c>
      <c r="AA446" s="17" t="str">
        <f>IFERROR(VLOOKUP(Template!$M446,Template!$D$3:$V$619,MATCH("Layer",Template!$D$2:$V$2,0),FALSE),"NA")</f>
        <v>N3</v>
      </c>
      <c r="AB446" s="21">
        <f>VLOOKUP(Template!$M446,Template!$D$3:$F$619,MATCH("InternalGrade",Template!$D$2:$F$2,0),FALSE)-Template!$F446</f>
        <v>0</v>
      </c>
      <c r="AC446" s="17">
        <f>IF(Template!$AB446&lt;=1, 0.8,IF(Template!$AB446=2,0.4,IF(Template!$AB446=3,0.2,IF(Template!$AB446=4,0.1,IF(Template!$AB446&gt;=5,0.05,"erro")))))</f>
        <v>0.8</v>
      </c>
      <c r="AD446" s="17" t="b">
        <f>Template!$D446=Template!$M446</f>
        <v>0</v>
      </c>
      <c r="AE446" s="12" t="s">
        <v>58</v>
      </c>
    </row>
    <row r="447" ht="15.75" customHeight="1">
      <c r="A447" s="7" t="s">
        <v>190</v>
      </c>
      <c r="B447" s="7" t="s">
        <v>160</v>
      </c>
      <c r="C447" s="7" t="s">
        <v>252</v>
      </c>
      <c r="D447" s="13">
        <v>15905.0</v>
      </c>
      <c r="E447" s="7" t="s">
        <v>197</v>
      </c>
      <c r="F447" s="13"/>
      <c r="G447" s="22" t="s">
        <v>87</v>
      </c>
      <c r="H447" s="7" t="s">
        <v>221</v>
      </c>
      <c r="I447" s="7" t="s">
        <v>222</v>
      </c>
      <c r="J447" s="7" t="s">
        <v>70</v>
      </c>
      <c r="K447" s="15">
        <v>42795.0</v>
      </c>
      <c r="L447" s="15">
        <v>31636.0</v>
      </c>
      <c r="M447" s="13">
        <v>11090.0</v>
      </c>
      <c r="N447" s="7"/>
      <c r="O447" s="7"/>
      <c r="P447" s="7">
        <v>13.33</v>
      </c>
      <c r="Q447" s="7"/>
      <c r="R447" s="20"/>
      <c r="S447" s="7"/>
      <c r="T447" s="20"/>
      <c r="U447" s="16">
        <f>SUM(Template!$N447:$O447)*Template!$P447+Template!$Q447</f>
        <v>0</v>
      </c>
      <c r="V447" s="17" t="str">
        <f>IF(Template!$M447="CONSELHO","N",IF(Template!$AA447="N","N1",IF(Template!$AA447="N1","N2",IF(Template!$AA447="N2","N3",IF(Template!$AA447="N3","N4",IF(Template!$AA447="N4","N5",IF(Template!$AA447="N5","N6",IF(Template!$AA447="N6","N7",IF(Template!$AA447="N7","N8",IF(Template!$AA447="N8","N9",IF(Template!$AA447="N9","N10","NA")))))))))))</f>
        <v>N4</v>
      </c>
      <c r="W447" s="17">
        <f>COUNTIF(Template!$M$3:$M$619,Template!$D447)</f>
        <v>0</v>
      </c>
      <c r="X447" s="17" t="str">
        <f>IF(Template!$F447="","",SUMIF(Template!$M$3:$M$619,Template!$D447,Template!$AC$3:$AC$619))</f>
        <v/>
      </c>
      <c r="Y447" s="17" t="str">
        <f>IFERROR(VLOOKUP(Template!$M447,Template!$D$3:$G$619,MATCH("EmployeeJobTitle",Template!$D$2:$G$2,0),FALSE),"NA")</f>
        <v>GERENTE DE LOJA</v>
      </c>
      <c r="Z447" s="17" t="str">
        <f>IFERROR(VLOOKUP(Template!$M447,Template!$D$3:$G$619,MATCH("EmployeeGroup",Template!$D$2:$G$2,0),FALSE),"NA")</f>
        <v>GERENTE</v>
      </c>
      <c r="AA447" s="17" t="str">
        <f>IFERROR(VLOOKUP(Template!$M447,Template!$D$3:$V$619,MATCH("Layer",Template!$D$2:$V$2,0),FALSE),"NA")</f>
        <v>N3</v>
      </c>
      <c r="AB447" s="21">
        <f>VLOOKUP(Template!$M447,Template!$D$3:$F$619,MATCH("InternalGrade",Template!$D$2:$F$2,0),FALSE)-Template!$F447</f>
        <v>0</v>
      </c>
      <c r="AC447" s="17">
        <f>IF(Template!$AB447&lt;=1, 0.8,IF(Template!$AB447=2,0.4,IF(Template!$AB447=3,0.2,IF(Template!$AB447=4,0.1,IF(Template!$AB447&gt;=5,0.05,"erro")))))</f>
        <v>0.8</v>
      </c>
      <c r="AD447" s="17" t="b">
        <f>Template!$D447=Template!$M447</f>
        <v>0</v>
      </c>
      <c r="AE447" s="12" t="s">
        <v>58</v>
      </c>
    </row>
    <row r="448" ht="15.75" customHeight="1">
      <c r="A448" s="7" t="s">
        <v>190</v>
      </c>
      <c r="B448" s="7" t="s">
        <v>160</v>
      </c>
      <c r="C448" s="7" t="s">
        <v>252</v>
      </c>
      <c r="D448" s="13">
        <v>25186.0</v>
      </c>
      <c r="E448" s="7" t="s">
        <v>193</v>
      </c>
      <c r="F448" s="13"/>
      <c r="G448" s="14" t="s">
        <v>63</v>
      </c>
      <c r="H448" s="7" t="s">
        <v>221</v>
      </c>
      <c r="I448" s="7" t="s">
        <v>222</v>
      </c>
      <c r="J448" s="7" t="s">
        <v>70</v>
      </c>
      <c r="K448" s="15">
        <v>45483.0</v>
      </c>
      <c r="L448" s="15">
        <v>29624.0</v>
      </c>
      <c r="M448" s="13">
        <v>11090.0</v>
      </c>
      <c r="N448" s="7"/>
      <c r="O448" s="7"/>
      <c r="P448" s="7">
        <v>13.33</v>
      </c>
      <c r="Q448" s="7"/>
      <c r="R448" s="20"/>
      <c r="S448" s="7"/>
      <c r="T448" s="20"/>
      <c r="U448" s="16">
        <f>SUM(Template!$N448:$O448)*Template!$P448+Template!$Q448</f>
        <v>0</v>
      </c>
      <c r="V448" s="17" t="str">
        <f>IF(Template!$M448="CONSELHO","N",IF(Template!$AA448="N","N1",IF(Template!$AA448="N1","N2",IF(Template!$AA448="N2","N3",IF(Template!$AA448="N3","N4",IF(Template!$AA448="N4","N5",IF(Template!$AA448="N5","N6",IF(Template!$AA448="N6","N7",IF(Template!$AA448="N7","N8",IF(Template!$AA448="N8","N9",IF(Template!$AA448="N9","N10","NA")))))))))))</f>
        <v>N4</v>
      </c>
      <c r="W448" s="17">
        <f>COUNTIF(Template!$M$3:$M$619,Template!$D448)</f>
        <v>0</v>
      </c>
      <c r="X448" s="17" t="str">
        <f>IF(Template!$F448="","",SUMIF(Template!$M$3:$M$619,Template!$D448,Template!$AC$3:$AC$619))</f>
        <v/>
      </c>
      <c r="Y448" s="17" t="str">
        <f>IFERROR(VLOOKUP(Template!$M448,Template!$D$3:$G$619,MATCH("EmployeeJobTitle",Template!$D$2:$G$2,0),FALSE),"NA")</f>
        <v>GERENTE DE LOJA</v>
      </c>
      <c r="Z448" s="17" t="str">
        <f>IFERROR(VLOOKUP(Template!$M448,Template!$D$3:$G$619,MATCH("EmployeeGroup",Template!$D$2:$G$2,0),FALSE),"NA")</f>
        <v>GERENTE</v>
      </c>
      <c r="AA448" s="17" t="str">
        <f>IFERROR(VLOOKUP(Template!$M448,Template!$D$3:$V$619,MATCH("Layer",Template!$D$2:$V$2,0),FALSE),"NA")</f>
        <v>N3</v>
      </c>
      <c r="AB448" s="21">
        <f>VLOOKUP(Template!$M448,Template!$D$3:$F$619,MATCH("InternalGrade",Template!$D$2:$F$2,0),FALSE)-Template!$F448</f>
        <v>0</v>
      </c>
      <c r="AC448" s="17">
        <f>IF(Template!$AB448&lt;=1, 0.8,IF(Template!$AB448=2,0.4,IF(Template!$AB448=3,0.2,IF(Template!$AB448=4,0.1,IF(Template!$AB448&gt;=5,0.05,"erro")))))</f>
        <v>0.8</v>
      </c>
      <c r="AD448" s="17" t="b">
        <f>Template!$D448=Template!$M448</f>
        <v>0</v>
      </c>
      <c r="AE448" s="12" t="s">
        <v>58</v>
      </c>
    </row>
    <row r="449" ht="15.75" customHeight="1">
      <c r="A449" s="7" t="s">
        <v>190</v>
      </c>
      <c r="B449" s="7" t="s">
        <v>160</v>
      </c>
      <c r="C449" s="7" t="s">
        <v>252</v>
      </c>
      <c r="D449" s="13">
        <v>24596.0</v>
      </c>
      <c r="E449" s="7" t="s">
        <v>198</v>
      </c>
      <c r="F449" s="13"/>
      <c r="G449" s="14" t="s">
        <v>63</v>
      </c>
      <c r="H449" s="7" t="s">
        <v>221</v>
      </c>
      <c r="I449" s="7" t="s">
        <v>222</v>
      </c>
      <c r="J449" s="7" t="s">
        <v>70</v>
      </c>
      <c r="K449" s="15">
        <v>45239.0</v>
      </c>
      <c r="L449" s="15">
        <v>34673.0</v>
      </c>
      <c r="M449" s="13">
        <v>11090.0</v>
      </c>
      <c r="N449" s="7">
        <v>1586.0</v>
      </c>
      <c r="O449" s="7"/>
      <c r="P449" s="7">
        <v>13.33</v>
      </c>
      <c r="Q449" s="7"/>
      <c r="R449" s="20"/>
      <c r="S449" s="7"/>
      <c r="T449" s="20"/>
      <c r="U449" s="16">
        <f>SUM(Template!$N449:$O449)*Template!$P449+Template!$Q449</f>
        <v>21141.38</v>
      </c>
      <c r="V449" s="17" t="str">
        <f>IF(Template!$M449="CONSELHO","N",IF(Template!$AA449="N","N1",IF(Template!$AA449="N1","N2",IF(Template!$AA449="N2","N3",IF(Template!$AA449="N3","N4",IF(Template!$AA449="N4","N5",IF(Template!$AA449="N5","N6",IF(Template!$AA449="N6","N7",IF(Template!$AA449="N7","N8",IF(Template!$AA449="N8","N9",IF(Template!$AA449="N9","N10","NA")))))))))))</f>
        <v>N4</v>
      </c>
      <c r="W449" s="17">
        <f>COUNTIF(Template!$M$3:$M$619,Template!$D449)</f>
        <v>0</v>
      </c>
      <c r="X449" s="17" t="str">
        <f>IF(Template!$F449="","",SUMIF(Template!$M$3:$M$619,Template!$D449,Template!$AC$3:$AC$619))</f>
        <v/>
      </c>
      <c r="Y449" s="17" t="str">
        <f>IFERROR(VLOOKUP(Template!$M449,Template!$D$3:$G$619,MATCH("EmployeeJobTitle",Template!$D$2:$G$2,0),FALSE),"NA")</f>
        <v>GERENTE DE LOJA</v>
      </c>
      <c r="Z449" s="17" t="str">
        <f>IFERROR(VLOOKUP(Template!$M449,Template!$D$3:$G$619,MATCH("EmployeeGroup",Template!$D$2:$G$2,0),FALSE),"NA")</f>
        <v>GERENTE</v>
      </c>
      <c r="AA449" s="17" t="str">
        <f>IFERROR(VLOOKUP(Template!$M449,Template!$D$3:$V$619,MATCH("Layer",Template!$D$2:$V$2,0),FALSE),"NA")</f>
        <v>N3</v>
      </c>
      <c r="AB449" s="21">
        <f>VLOOKUP(Template!$M449,Template!$D$3:$F$619,MATCH("InternalGrade",Template!$D$2:$F$2,0),FALSE)-Template!$F449</f>
        <v>0</v>
      </c>
      <c r="AC449" s="17">
        <f>IF(Template!$AB449&lt;=1, 0.8,IF(Template!$AB449=2,0.4,IF(Template!$AB449=3,0.2,IF(Template!$AB449=4,0.1,IF(Template!$AB449&gt;=5,0.05,"erro")))))</f>
        <v>0.8</v>
      </c>
      <c r="AD449" s="17" t="b">
        <f>Template!$D449=Template!$M449</f>
        <v>0</v>
      </c>
      <c r="AE449" s="12" t="s">
        <v>58</v>
      </c>
    </row>
    <row r="450" ht="15.75" customHeight="1">
      <c r="A450" s="7" t="s">
        <v>190</v>
      </c>
      <c r="B450" s="7" t="s">
        <v>160</v>
      </c>
      <c r="C450" s="7" t="s">
        <v>252</v>
      </c>
      <c r="D450" s="13">
        <v>24580.0</v>
      </c>
      <c r="E450" s="7" t="s">
        <v>198</v>
      </c>
      <c r="F450" s="13"/>
      <c r="G450" s="14" t="s">
        <v>63</v>
      </c>
      <c r="H450" s="7" t="s">
        <v>221</v>
      </c>
      <c r="I450" s="7" t="s">
        <v>222</v>
      </c>
      <c r="J450" s="7" t="s">
        <v>70</v>
      </c>
      <c r="K450" s="15">
        <v>45239.0</v>
      </c>
      <c r="L450" s="15">
        <v>35177.0</v>
      </c>
      <c r="M450" s="13">
        <v>11090.0</v>
      </c>
      <c r="N450" s="7">
        <v>1586.0</v>
      </c>
      <c r="O450" s="7"/>
      <c r="P450" s="7">
        <v>13.33</v>
      </c>
      <c r="Q450" s="7"/>
      <c r="R450" s="20"/>
      <c r="S450" s="7"/>
      <c r="T450" s="20"/>
      <c r="U450" s="16">
        <f>SUM(Template!$N450:$O450)*Template!$P450+Template!$Q450</f>
        <v>21141.38</v>
      </c>
      <c r="V450" s="17" t="str">
        <f>IF(Template!$M450="CONSELHO","N",IF(Template!$AA450="N","N1",IF(Template!$AA450="N1","N2",IF(Template!$AA450="N2","N3",IF(Template!$AA450="N3","N4",IF(Template!$AA450="N4","N5",IF(Template!$AA450="N5","N6",IF(Template!$AA450="N6","N7",IF(Template!$AA450="N7","N8",IF(Template!$AA450="N8","N9",IF(Template!$AA450="N9","N10","NA")))))))))))</f>
        <v>N4</v>
      </c>
      <c r="W450" s="17">
        <f>COUNTIF(Template!$M$3:$M$619,Template!$D450)</f>
        <v>0</v>
      </c>
      <c r="X450" s="17" t="str">
        <f>IF(Template!$F450="","",SUMIF(Template!$M$3:$M$619,Template!$D450,Template!$AC$3:$AC$619))</f>
        <v/>
      </c>
      <c r="Y450" s="17" t="str">
        <f>IFERROR(VLOOKUP(Template!$M450,Template!$D$3:$G$619,MATCH("EmployeeJobTitle",Template!$D$2:$G$2,0),FALSE),"NA")</f>
        <v>GERENTE DE LOJA</v>
      </c>
      <c r="Z450" s="17" t="str">
        <f>IFERROR(VLOOKUP(Template!$M450,Template!$D$3:$G$619,MATCH("EmployeeGroup",Template!$D$2:$G$2,0),FALSE),"NA")</f>
        <v>GERENTE</v>
      </c>
      <c r="AA450" s="17" t="str">
        <f>IFERROR(VLOOKUP(Template!$M450,Template!$D$3:$V$619,MATCH("Layer",Template!$D$2:$V$2,0),FALSE),"NA")</f>
        <v>N3</v>
      </c>
      <c r="AB450" s="21">
        <f>VLOOKUP(Template!$M450,Template!$D$3:$F$619,MATCH("InternalGrade",Template!$D$2:$F$2,0),FALSE)-Template!$F450</f>
        <v>0</v>
      </c>
      <c r="AC450" s="17">
        <f>IF(Template!$AB450&lt;=1, 0.8,IF(Template!$AB450=2,0.4,IF(Template!$AB450=3,0.2,IF(Template!$AB450=4,0.1,IF(Template!$AB450&gt;=5,0.05,"erro")))))</f>
        <v>0.8</v>
      </c>
      <c r="AD450" s="17" t="b">
        <f>Template!$D450=Template!$M450</f>
        <v>0</v>
      </c>
      <c r="AE450" s="12" t="s">
        <v>58</v>
      </c>
    </row>
    <row r="451" ht="15.75" customHeight="1">
      <c r="A451" s="7" t="s">
        <v>190</v>
      </c>
      <c r="B451" s="7" t="s">
        <v>160</v>
      </c>
      <c r="C451" s="7" t="s">
        <v>252</v>
      </c>
      <c r="D451" s="13">
        <v>16327.0</v>
      </c>
      <c r="E451" s="7" t="s">
        <v>203</v>
      </c>
      <c r="F451" s="13"/>
      <c r="G451" s="14" t="s">
        <v>63</v>
      </c>
      <c r="H451" s="7" t="s">
        <v>221</v>
      </c>
      <c r="I451" s="7" t="s">
        <v>222</v>
      </c>
      <c r="J451" s="7" t="s">
        <v>70</v>
      </c>
      <c r="K451" s="15">
        <v>43040.0</v>
      </c>
      <c r="L451" s="15">
        <v>33277.0</v>
      </c>
      <c r="M451" s="13">
        <v>11090.0</v>
      </c>
      <c r="N451" s="7"/>
      <c r="O451" s="7"/>
      <c r="P451" s="7">
        <v>13.33</v>
      </c>
      <c r="Q451" s="7"/>
      <c r="R451" s="20"/>
      <c r="S451" s="7"/>
      <c r="T451" s="20"/>
      <c r="U451" s="16">
        <f>SUM(Template!$N451:$O451)*Template!$P451+Template!$Q451</f>
        <v>0</v>
      </c>
      <c r="V451" s="17" t="str">
        <f>IF(Template!$M451="CONSELHO","N",IF(Template!$AA451="N","N1",IF(Template!$AA451="N1","N2",IF(Template!$AA451="N2","N3",IF(Template!$AA451="N3","N4",IF(Template!$AA451="N4","N5",IF(Template!$AA451="N5","N6",IF(Template!$AA451="N6","N7",IF(Template!$AA451="N7","N8",IF(Template!$AA451="N8","N9",IF(Template!$AA451="N9","N10","NA")))))))))))</f>
        <v>N4</v>
      </c>
      <c r="W451" s="17">
        <f>COUNTIF(Template!$M$3:$M$619,Template!$D451)</f>
        <v>0</v>
      </c>
      <c r="X451" s="17" t="str">
        <f>IF(Template!$F451="","",SUMIF(Template!$M$3:$M$619,Template!$D451,Template!$AC$3:$AC$619))</f>
        <v/>
      </c>
      <c r="Y451" s="17" t="str">
        <f>IFERROR(VLOOKUP(Template!$M451,Template!$D$3:$G$619,MATCH("EmployeeJobTitle",Template!$D$2:$G$2,0),FALSE),"NA")</f>
        <v>GERENTE DE LOJA</v>
      </c>
      <c r="Z451" s="17" t="str">
        <f>IFERROR(VLOOKUP(Template!$M451,Template!$D$3:$G$619,MATCH("EmployeeGroup",Template!$D$2:$G$2,0),FALSE),"NA")</f>
        <v>GERENTE</v>
      </c>
      <c r="AA451" s="17" t="str">
        <f>IFERROR(VLOOKUP(Template!$M451,Template!$D$3:$V$619,MATCH("Layer",Template!$D$2:$V$2,0),FALSE),"NA")</f>
        <v>N3</v>
      </c>
      <c r="AB451" s="21">
        <f>VLOOKUP(Template!$M451,Template!$D$3:$F$619,MATCH("InternalGrade",Template!$D$2:$F$2,0),FALSE)-Template!$F451</f>
        <v>0</v>
      </c>
      <c r="AC451" s="17">
        <f>IF(Template!$AB451&lt;=1, 0.8,IF(Template!$AB451=2,0.4,IF(Template!$AB451=3,0.2,IF(Template!$AB451=4,0.1,IF(Template!$AB451&gt;=5,0.05,"erro")))))</f>
        <v>0.8</v>
      </c>
      <c r="AD451" s="17" t="b">
        <f>Template!$D451=Template!$M451</f>
        <v>0</v>
      </c>
      <c r="AE451" s="12" t="s">
        <v>58</v>
      </c>
    </row>
    <row r="452" ht="15.75" customHeight="1">
      <c r="A452" s="7" t="s">
        <v>190</v>
      </c>
      <c r="B452" s="7" t="s">
        <v>160</v>
      </c>
      <c r="C452" s="7" t="s">
        <v>252</v>
      </c>
      <c r="D452" s="13">
        <v>25310.0</v>
      </c>
      <c r="E452" s="7" t="s">
        <v>193</v>
      </c>
      <c r="F452" s="13"/>
      <c r="G452" s="14" t="s">
        <v>63</v>
      </c>
      <c r="H452" s="7" t="s">
        <v>221</v>
      </c>
      <c r="I452" s="7" t="s">
        <v>222</v>
      </c>
      <c r="J452" s="7" t="s">
        <v>70</v>
      </c>
      <c r="K452" s="15">
        <v>45516.0</v>
      </c>
      <c r="L452" s="15">
        <v>33102.0</v>
      </c>
      <c r="M452" s="13">
        <v>11090.0</v>
      </c>
      <c r="N452" s="7"/>
      <c r="O452" s="7"/>
      <c r="P452" s="7">
        <v>13.33</v>
      </c>
      <c r="Q452" s="7"/>
      <c r="R452" s="20"/>
      <c r="S452" s="7"/>
      <c r="T452" s="20"/>
      <c r="U452" s="16">
        <f>SUM(Template!$N452:$O452)*Template!$P452+Template!$Q452</f>
        <v>0</v>
      </c>
      <c r="V452" s="17" t="str">
        <f>IF(Template!$M452="CONSELHO","N",IF(Template!$AA452="N","N1",IF(Template!$AA452="N1","N2",IF(Template!$AA452="N2","N3",IF(Template!$AA452="N3","N4",IF(Template!$AA452="N4","N5",IF(Template!$AA452="N5","N6",IF(Template!$AA452="N6","N7",IF(Template!$AA452="N7","N8",IF(Template!$AA452="N8","N9",IF(Template!$AA452="N9","N10","NA")))))))))))</f>
        <v>N4</v>
      </c>
      <c r="W452" s="17">
        <f>COUNTIF(Template!$M$3:$M$619,Template!$D452)</f>
        <v>0</v>
      </c>
      <c r="X452" s="17" t="str">
        <f>IF(Template!$F452="","",SUMIF(Template!$M$3:$M$619,Template!$D452,Template!$AC$3:$AC$619))</f>
        <v/>
      </c>
      <c r="Y452" s="17" t="str">
        <f>IFERROR(VLOOKUP(Template!$M452,Template!$D$3:$G$619,MATCH("EmployeeJobTitle",Template!$D$2:$G$2,0),FALSE),"NA")</f>
        <v>GERENTE DE LOJA</v>
      </c>
      <c r="Z452" s="17" t="str">
        <f>IFERROR(VLOOKUP(Template!$M452,Template!$D$3:$G$619,MATCH("EmployeeGroup",Template!$D$2:$G$2,0),FALSE),"NA")</f>
        <v>GERENTE</v>
      </c>
      <c r="AA452" s="17" t="str">
        <f>IFERROR(VLOOKUP(Template!$M452,Template!$D$3:$V$619,MATCH("Layer",Template!$D$2:$V$2,0),FALSE),"NA")</f>
        <v>N3</v>
      </c>
      <c r="AB452" s="21">
        <f>VLOOKUP(Template!$M452,Template!$D$3:$F$619,MATCH("InternalGrade",Template!$D$2:$F$2,0),FALSE)-Template!$F452</f>
        <v>0</v>
      </c>
      <c r="AC452" s="17">
        <f>IF(Template!$AB452&lt;=1, 0.8,IF(Template!$AB452=2,0.4,IF(Template!$AB452=3,0.2,IF(Template!$AB452=4,0.1,IF(Template!$AB452&gt;=5,0.05,"erro")))))</f>
        <v>0.8</v>
      </c>
      <c r="AD452" s="17" t="b">
        <f>Template!$D452=Template!$M452</f>
        <v>0</v>
      </c>
      <c r="AE452" s="12" t="s">
        <v>58</v>
      </c>
    </row>
    <row r="453" ht="15.75" customHeight="1">
      <c r="A453" s="7" t="s">
        <v>190</v>
      </c>
      <c r="B453" s="7" t="s">
        <v>160</v>
      </c>
      <c r="C453" s="7" t="s">
        <v>252</v>
      </c>
      <c r="D453" s="13">
        <v>20923.0</v>
      </c>
      <c r="E453" s="7" t="s">
        <v>193</v>
      </c>
      <c r="F453" s="13"/>
      <c r="G453" s="14" t="s">
        <v>63</v>
      </c>
      <c r="H453" s="7" t="s">
        <v>221</v>
      </c>
      <c r="I453" s="7" t="s">
        <v>222</v>
      </c>
      <c r="J453" s="7" t="s">
        <v>70</v>
      </c>
      <c r="K453" s="15">
        <v>44746.0</v>
      </c>
      <c r="L453" s="15">
        <v>23557.0</v>
      </c>
      <c r="M453" s="13">
        <v>11090.0</v>
      </c>
      <c r="N453" s="7"/>
      <c r="O453" s="7"/>
      <c r="P453" s="7">
        <v>13.33</v>
      </c>
      <c r="Q453" s="7"/>
      <c r="R453" s="20"/>
      <c r="S453" s="7"/>
      <c r="T453" s="20"/>
      <c r="U453" s="16">
        <f>SUM(Template!$N453:$O453)*Template!$P453+Template!$Q453</f>
        <v>0</v>
      </c>
      <c r="V453" s="17" t="str">
        <f>IF(Template!$M453="CONSELHO","N",IF(Template!$AA453="N","N1",IF(Template!$AA453="N1","N2",IF(Template!$AA453="N2","N3",IF(Template!$AA453="N3","N4",IF(Template!$AA453="N4","N5",IF(Template!$AA453="N5","N6",IF(Template!$AA453="N6","N7",IF(Template!$AA453="N7","N8",IF(Template!$AA453="N8","N9",IF(Template!$AA453="N9","N10","NA")))))))))))</f>
        <v>N4</v>
      </c>
      <c r="W453" s="17">
        <f>COUNTIF(Template!$M$3:$M$619,Template!$D453)</f>
        <v>0</v>
      </c>
      <c r="X453" s="17" t="str">
        <f>IF(Template!$F453="","",SUMIF(Template!$M$3:$M$619,Template!$D453,Template!$AC$3:$AC$619))</f>
        <v/>
      </c>
      <c r="Y453" s="17" t="str">
        <f>IFERROR(VLOOKUP(Template!$M453,Template!$D$3:$G$619,MATCH("EmployeeJobTitle",Template!$D$2:$G$2,0),FALSE),"NA")</f>
        <v>GERENTE DE LOJA</v>
      </c>
      <c r="Z453" s="17" t="str">
        <f>IFERROR(VLOOKUP(Template!$M453,Template!$D$3:$G$619,MATCH("EmployeeGroup",Template!$D$2:$G$2,0),FALSE),"NA")</f>
        <v>GERENTE</v>
      </c>
      <c r="AA453" s="17" t="str">
        <f>IFERROR(VLOOKUP(Template!$M453,Template!$D$3:$V$619,MATCH("Layer",Template!$D$2:$V$2,0),FALSE),"NA")</f>
        <v>N3</v>
      </c>
      <c r="AB453" s="21">
        <f>VLOOKUP(Template!$M453,Template!$D$3:$F$619,MATCH("InternalGrade",Template!$D$2:$F$2,0),FALSE)-Template!$F453</f>
        <v>0</v>
      </c>
      <c r="AC453" s="17">
        <f>IF(Template!$AB453&lt;=1, 0.8,IF(Template!$AB453=2,0.4,IF(Template!$AB453=3,0.2,IF(Template!$AB453=4,0.1,IF(Template!$AB453&gt;=5,0.05,"erro")))))</f>
        <v>0.8</v>
      </c>
      <c r="AD453" s="17" t="b">
        <f>Template!$D453=Template!$M453</f>
        <v>0</v>
      </c>
      <c r="AE453" s="12" t="s">
        <v>58</v>
      </c>
    </row>
    <row r="454" ht="15.75" customHeight="1">
      <c r="A454" s="7" t="s">
        <v>190</v>
      </c>
      <c r="B454" s="7" t="s">
        <v>160</v>
      </c>
      <c r="C454" s="7" t="s">
        <v>252</v>
      </c>
      <c r="D454" s="13">
        <v>20389.0</v>
      </c>
      <c r="E454" s="7" t="s">
        <v>193</v>
      </c>
      <c r="F454" s="13"/>
      <c r="G454" s="14" t="s">
        <v>63</v>
      </c>
      <c r="H454" s="7" t="s">
        <v>221</v>
      </c>
      <c r="I454" s="7" t="s">
        <v>222</v>
      </c>
      <c r="J454" s="7" t="s">
        <v>70</v>
      </c>
      <c r="K454" s="15">
        <v>44613.0</v>
      </c>
      <c r="L454" s="15">
        <v>32449.0</v>
      </c>
      <c r="M454" s="13">
        <v>11090.0</v>
      </c>
      <c r="N454" s="7"/>
      <c r="O454" s="7"/>
      <c r="P454" s="7">
        <v>13.33</v>
      </c>
      <c r="Q454" s="7"/>
      <c r="R454" s="20"/>
      <c r="S454" s="7"/>
      <c r="T454" s="20"/>
      <c r="U454" s="16">
        <f>SUM(Template!$N454:$O454)*Template!$P454+Template!$Q454</f>
        <v>0</v>
      </c>
      <c r="V454" s="17" t="str">
        <f>IF(Template!$M454="CONSELHO","N",IF(Template!$AA454="N","N1",IF(Template!$AA454="N1","N2",IF(Template!$AA454="N2","N3",IF(Template!$AA454="N3","N4",IF(Template!$AA454="N4","N5",IF(Template!$AA454="N5","N6",IF(Template!$AA454="N6","N7",IF(Template!$AA454="N7","N8",IF(Template!$AA454="N8","N9",IF(Template!$AA454="N9","N10","NA")))))))))))</f>
        <v>N4</v>
      </c>
      <c r="W454" s="17">
        <f>COUNTIF(Template!$M$3:$M$619,Template!$D454)</f>
        <v>0</v>
      </c>
      <c r="X454" s="17" t="str">
        <f>IF(Template!$F454="","",SUMIF(Template!$M$3:$M$619,Template!$D454,Template!$AC$3:$AC$619))</f>
        <v/>
      </c>
      <c r="Y454" s="17" t="str">
        <f>IFERROR(VLOOKUP(Template!$M454,Template!$D$3:$G$619,MATCH("EmployeeJobTitle",Template!$D$2:$G$2,0),FALSE),"NA")</f>
        <v>GERENTE DE LOJA</v>
      </c>
      <c r="Z454" s="17" t="str">
        <f>IFERROR(VLOOKUP(Template!$M454,Template!$D$3:$G$619,MATCH("EmployeeGroup",Template!$D$2:$G$2,0),FALSE),"NA")</f>
        <v>GERENTE</v>
      </c>
      <c r="AA454" s="17" t="str">
        <f>IFERROR(VLOOKUP(Template!$M454,Template!$D$3:$V$619,MATCH("Layer",Template!$D$2:$V$2,0),FALSE),"NA")</f>
        <v>N3</v>
      </c>
      <c r="AB454" s="21">
        <f>VLOOKUP(Template!$M454,Template!$D$3:$F$619,MATCH("InternalGrade",Template!$D$2:$F$2,0),FALSE)-Template!$F454</f>
        <v>0</v>
      </c>
      <c r="AC454" s="17">
        <f>IF(Template!$AB454&lt;=1, 0.8,IF(Template!$AB454=2,0.4,IF(Template!$AB454=3,0.2,IF(Template!$AB454=4,0.1,IF(Template!$AB454&gt;=5,0.05,"erro")))))</f>
        <v>0.8</v>
      </c>
      <c r="AD454" s="17" t="b">
        <f>Template!$D454=Template!$M454</f>
        <v>0</v>
      </c>
      <c r="AE454" s="12" t="s">
        <v>58</v>
      </c>
    </row>
    <row r="455" ht="15.75" customHeight="1">
      <c r="A455" s="7" t="s">
        <v>190</v>
      </c>
      <c r="B455" s="7" t="s">
        <v>160</v>
      </c>
      <c r="C455" s="7" t="s">
        <v>252</v>
      </c>
      <c r="D455" s="13">
        <v>16742.0</v>
      </c>
      <c r="E455" s="7" t="s">
        <v>196</v>
      </c>
      <c r="F455" s="13"/>
      <c r="G455" s="14" t="s">
        <v>63</v>
      </c>
      <c r="H455" s="7" t="s">
        <v>221</v>
      </c>
      <c r="I455" s="7" t="s">
        <v>222</v>
      </c>
      <c r="J455" s="7" t="s">
        <v>70</v>
      </c>
      <c r="K455" s="15">
        <v>43174.0</v>
      </c>
      <c r="L455" s="15">
        <v>27078.0</v>
      </c>
      <c r="M455" s="13">
        <v>11090.0</v>
      </c>
      <c r="N455" s="7">
        <v>2062.0</v>
      </c>
      <c r="O455" s="7"/>
      <c r="P455" s="7">
        <v>13.33</v>
      </c>
      <c r="Q455" s="7"/>
      <c r="R455" s="20"/>
      <c r="S455" s="7"/>
      <c r="T455" s="20"/>
      <c r="U455" s="16">
        <f>SUM(Template!$N455:$O455)*Template!$P455+Template!$Q455</f>
        <v>27486.46</v>
      </c>
      <c r="V455" s="17" t="str">
        <f>IF(Template!$M455="CONSELHO","N",IF(Template!$AA455="N","N1",IF(Template!$AA455="N1","N2",IF(Template!$AA455="N2","N3",IF(Template!$AA455="N3","N4",IF(Template!$AA455="N4","N5",IF(Template!$AA455="N5","N6",IF(Template!$AA455="N6","N7",IF(Template!$AA455="N7","N8",IF(Template!$AA455="N8","N9",IF(Template!$AA455="N9","N10","NA")))))))))))</f>
        <v>N4</v>
      </c>
      <c r="W455" s="17">
        <f>COUNTIF(Template!$M$3:$M$619,Template!$D455)</f>
        <v>0</v>
      </c>
      <c r="X455" s="17" t="str">
        <f>IF(Template!$F455="","",SUMIF(Template!$M$3:$M$619,Template!$D455,Template!$AC$3:$AC$619))</f>
        <v/>
      </c>
      <c r="Y455" s="17" t="str">
        <f>IFERROR(VLOOKUP(Template!$M455,Template!$D$3:$G$619,MATCH("EmployeeJobTitle",Template!$D$2:$G$2,0),FALSE),"NA")</f>
        <v>GERENTE DE LOJA</v>
      </c>
      <c r="Z455" s="17" t="str">
        <f>IFERROR(VLOOKUP(Template!$M455,Template!$D$3:$G$619,MATCH("EmployeeGroup",Template!$D$2:$G$2,0),FALSE),"NA")</f>
        <v>GERENTE</v>
      </c>
      <c r="AA455" s="17" t="str">
        <f>IFERROR(VLOOKUP(Template!$M455,Template!$D$3:$V$619,MATCH("Layer",Template!$D$2:$V$2,0),FALSE),"NA")</f>
        <v>N3</v>
      </c>
      <c r="AB455" s="21">
        <f>VLOOKUP(Template!$M455,Template!$D$3:$F$619,MATCH("InternalGrade",Template!$D$2:$F$2,0),FALSE)-Template!$F455</f>
        <v>0</v>
      </c>
      <c r="AC455" s="17">
        <f>IF(Template!$AB455&lt;=1, 0.8,IF(Template!$AB455=2,0.4,IF(Template!$AB455=3,0.2,IF(Template!$AB455=4,0.1,IF(Template!$AB455&gt;=5,0.05,"erro")))))</f>
        <v>0.8</v>
      </c>
      <c r="AD455" s="17" t="b">
        <f>Template!$D455=Template!$M455</f>
        <v>0</v>
      </c>
      <c r="AE455" s="12" t="s">
        <v>58</v>
      </c>
    </row>
    <row r="456" ht="15.75" customHeight="1">
      <c r="A456" s="7" t="s">
        <v>190</v>
      </c>
      <c r="B456" s="7" t="s">
        <v>160</v>
      </c>
      <c r="C456" s="7" t="s">
        <v>252</v>
      </c>
      <c r="D456" s="13">
        <v>11090.0</v>
      </c>
      <c r="E456" s="7" t="s">
        <v>199</v>
      </c>
      <c r="F456" s="13"/>
      <c r="G456" s="22" t="s">
        <v>200</v>
      </c>
      <c r="H456" s="7" t="s">
        <v>221</v>
      </c>
      <c r="I456" s="7" t="s">
        <v>222</v>
      </c>
      <c r="J456" s="7" t="s">
        <v>70</v>
      </c>
      <c r="K456" s="15">
        <v>40855.0</v>
      </c>
      <c r="L456" s="15">
        <v>32458.0</v>
      </c>
      <c r="M456" s="13">
        <v>12404.0</v>
      </c>
      <c r="N456" s="7">
        <v>5951.0</v>
      </c>
      <c r="O456" s="7"/>
      <c r="P456" s="7">
        <v>13.33</v>
      </c>
      <c r="Q456" s="7"/>
      <c r="R456" s="20"/>
      <c r="S456" s="7"/>
      <c r="T456" s="20"/>
      <c r="U456" s="16">
        <f>SUM(Template!$N456:$O456)*Template!$P456+Template!$Q456</f>
        <v>79326.83</v>
      </c>
      <c r="V456" s="17" t="str">
        <f>IF(Template!$M456="CONSELHO","N",IF(Template!$AA456="N","N1",IF(Template!$AA456="N1","N2",IF(Template!$AA456="N2","N3",IF(Template!$AA456="N3","N4",IF(Template!$AA456="N4","N5",IF(Template!$AA456="N5","N6",IF(Template!$AA456="N6","N7",IF(Template!$AA456="N7","N8",IF(Template!$AA456="N8","N9",IF(Template!$AA456="N9","N10","NA")))))))))))</f>
        <v>N3</v>
      </c>
      <c r="W456" s="17">
        <f>COUNTIF(Template!$M$3:$M$619,Template!$D456)</f>
        <v>10</v>
      </c>
      <c r="X456" s="17" t="str">
        <f>IF(Template!$F456="","",SUMIF(Template!$M$3:$M$619,Template!$D456,Template!$AC$3:$AC$619))</f>
        <v/>
      </c>
      <c r="Y456" s="17" t="str">
        <f>IFERROR(VLOOKUP(Template!$M456,Template!$D$3:$G$619,MATCH("EmployeeJobTitle",Template!$D$2:$G$2,0),FALSE),"NA")</f>
        <v>GERENTE COMERCIAL</v>
      </c>
      <c r="Z456" s="17" t="str">
        <f>IFERROR(VLOOKUP(Template!$M456,Template!$D$3:$G$619,MATCH("EmployeeGroup",Template!$D$2:$G$2,0),FALSE),"NA")</f>
        <v>Coordenador</v>
      </c>
      <c r="AA456" s="17" t="str">
        <f>IFERROR(VLOOKUP(Template!$M456,Template!$D$3:$V$619,MATCH("Layer",Template!$D$2:$V$2,0),FALSE),"NA")</f>
        <v>N2</v>
      </c>
      <c r="AB456" s="21">
        <f>VLOOKUP(Template!$M456,Template!$D$3:$F$619,MATCH("InternalGrade",Template!$D$2:$F$2,0),FALSE)-Template!$F456</f>
        <v>19</v>
      </c>
      <c r="AC456" s="17">
        <f>IF(Template!$AB456&lt;=1, 0.8,IF(Template!$AB456=2,0.4,IF(Template!$AB456=3,0.2,IF(Template!$AB456=4,0.1,IF(Template!$AB456&gt;=5,0.05,"erro")))))</f>
        <v>0.05</v>
      </c>
      <c r="AD456" s="17" t="b">
        <f>Template!$D456=Template!$M456</f>
        <v>0</v>
      </c>
      <c r="AE456" s="12" t="s">
        <v>58</v>
      </c>
    </row>
    <row r="457" ht="15.75" customHeight="1">
      <c r="A457" s="7" t="s">
        <v>190</v>
      </c>
      <c r="B457" s="7" t="s">
        <v>191</v>
      </c>
      <c r="C457" s="7" t="s">
        <v>253</v>
      </c>
      <c r="D457" s="13">
        <v>25434.0</v>
      </c>
      <c r="E457" s="7" t="s">
        <v>193</v>
      </c>
      <c r="F457" s="13"/>
      <c r="G457" s="14" t="s">
        <v>63</v>
      </c>
      <c r="H457" s="7" t="s">
        <v>237</v>
      </c>
      <c r="I457" s="7" t="s">
        <v>238</v>
      </c>
      <c r="J457" s="7" t="s">
        <v>70</v>
      </c>
      <c r="K457" s="15">
        <v>45572.0</v>
      </c>
      <c r="L457" s="15">
        <v>31175.0</v>
      </c>
      <c r="M457" s="13">
        <v>19855.0</v>
      </c>
      <c r="N457" s="7"/>
      <c r="O457" s="7"/>
      <c r="P457" s="7">
        <v>13.33</v>
      </c>
      <c r="Q457" s="7"/>
      <c r="R457" s="20"/>
      <c r="S457" s="7"/>
      <c r="T457" s="20"/>
      <c r="U457" s="16">
        <f>SUM(Template!$N457:$O457)*Template!$P457+Template!$Q457</f>
        <v>0</v>
      </c>
      <c r="V457" s="17" t="str">
        <f>IF(Template!$M457="CONSELHO","N",IF(Template!$AA457="N","N1",IF(Template!$AA457="N1","N2",IF(Template!$AA457="N2","N3",IF(Template!$AA457="N3","N4",IF(Template!$AA457="N4","N5",IF(Template!$AA457="N5","N6",IF(Template!$AA457="N6","N7",IF(Template!$AA457="N7","N8",IF(Template!$AA457="N8","N9",IF(Template!$AA457="N9","N10","NA")))))))))))</f>
        <v>N4</v>
      </c>
      <c r="W457" s="17">
        <f>COUNTIF(Template!$M$3:$M$619,Template!$D457)</f>
        <v>0</v>
      </c>
      <c r="X457" s="17" t="str">
        <f>IF(Template!$F457="","",SUMIF(Template!$M$3:$M$619,Template!$D457,Template!$AC$3:$AC$619))</f>
        <v/>
      </c>
      <c r="Y457" s="17" t="str">
        <f>IFERROR(VLOOKUP(Template!$M457,Template!$D$3:$G$619,MATCH("EmployeeJobTitle",Template!$D$2:$G$2,0),FALSE),"NA")</f>
        <v>GERENTE DE LOJA</v>
      </c>
      <c r="Z457" s="17" t="str">
        <f>IFERROR(VLOOKUP(Template!$M457,Template!$D$3:$G$619,MATCH("EmployeeGroup",Template!$D$2:$G$2,0),FALSE),"NA")</f>
        <v>GERENTE</v>
      </c>
      <c r="AA457" s="17" t="str">
        <f>IFERROR(VLOOKUP(Template!$M457,Template!$D$3:$V$619,MATCH("Layer",Template!$D$2:$V$2,0),FALSE),"NA")</f>
        <v>N3</v>
      </c>
      <c r="AB457" s="21">
        <f>VLOOKUP(Template!$M457,Template!$D$3:$F$619,MATCH("InternalGrade",Template!$D$2:$F$2,0),FALSE)-Template!$F457</f>
        <v>0</v>
      </c>
      <c r="AC457" s="17">
        <f>IF(Template!$AB457&lt;=1, 0.8,IF(Template!$AB457=2,0.4,IF(Template!$AB457=3,0.2,IF(Template!$AB457=4,0.1,IF(Template!$AB457&gt;=5,0.05,"erro")))))</f>
        <v>0.8</v>
      </c>
      <c r="AD457" s="17" t="b">
        <f>Template!$D457=Template!$M457</f>
        <v>0</v>
      </c>
      <c r="AE457" s="12" t="s">
        <v>58</v>
      </c>
    </row>
    <row r="458" ht="15.75" customHeight="1">
      <c r="A458" s="7" t="s">
        <v>190</v>
      </c>
      <c r="B458" s="7" t="s">
        <v>191</v>
      </c>
      <c r="C458" s="7" t="s">
        <v>253</v>
      </c>
      <c r="D458" s="13">
        <v>19855.0</v>
      </c>
      <c r="E458" s="7" t="s">
        <v>199</v>
      </c>
      <c r="F458" s="13"/>
      <c r="G458" s="22" t="s">
        <v>200</v>
      </c>
      <c r="H458" s="7" t="s">
        <v>237</v>
      </c>
      <c r="I458" s="7" t="s">
        <v>238</v>
      </c>
      <c r="J458" s="7" t="s">
        <v>70</v>
      </c>
      <c r="K458" s="15">
        <v>44487.0</v>
      </c>
      <c r="L458" s="15">
        <v>34203.0</v>
      </c>
      <c r="M458" s="13">
        <v>23256.0</v>
      </c>
      <c r="N458" s="7">
        <v>4614.0</v>
      </c>
      <c r="O458" s="7"/>
      <c r="P458" s="7">
        <v>13.33</v>
      </c>
      <c r="Q458" s="7"/>
      <c r="R458" s="20"/>
      <c r="S458" s="7"/>
      <c r="T458" s="20"/>
      <c r="U458" s="16">
        <f>SUM(Template!$N458:$O458)*Template!$P458+Template!$Q458</f>
        <v>61504.62</v>
      </c>
      <c r="V458" s="17" t="str">
        <f>IF(Template!$M458="CONSELHO","N",IF(Template!$AA458="N","N1",IF(Template!$AA458="N1","N2",IF(Template!$AA458="N2","N3",IF(Template!$AA458="N3","N4",IF(Template!$AA458="N4","N5",IF(Template!$AA458="N5","N6",IF(Template!$AA458="N6","N7",IF(Template!$AA458="N7","N8",IF(Template!$AA458="N8","N9",IF(Template!$AA458="N9","N10","NA")))))))))))</f>
        <v>N3</v>
      </c>
      <c r="W458" s="17">
        <f>COUNTIF(Template!$M$3:$M$619,Template!$D458)</f>
        <v>6</v>
      </c>
      <c r="X458" s="17" t="str">
        <f>IF(Template!$F458="","",SUMIF(Template!$M$3:$M$619,Template!$D458,Template!$AC$3:$AC$619))</f>
        <v/>
      </c>
      <c r="Y458" s="17" t="str">
        <f>IFERROR(VLOOKUP(Template!$M458,Template!$D$3:$G$619,MATCH("EmployeeJobTitle",Template!$D$2:$G$2,0),FALSE),"NA")</f>
        <v>GERENTE COMERCIAL</v>
      </c>
      <c r="Z458" s="17" t="str">
        <f>IFERROR(VLOOKUP(Template!$M458,Template!$D$3:$G$619,MATCH("EmployeeGroup",Template!$D$2:$G$2,0),FALSE),"NA")</f>
        <v>Coordenador</v>
      </c>
      <c r="AA458" s="17" t="str">
        <f>IFERROR(VLOOKUP(Template!$M458,Template!$D$3:$V$619,MATCH("Layer",Template!$D$2:$V$2,0),FALSE),"NA")</f>
        <v>N2</v>
      </c>
      <c r="AB458" s="21">
        <f>VLOOKUP(Template!$M458,Template!$D$3:$F$619,MATCH("InternalGrade",Template!$D$2:$F$2,0),FALSE)-Template!$F458</f>
        <v>19</v>
      </c>
      <c r="AC458" s="17">
        <f>IF(Template!$AB458&lt;=1, 0.8,IF(Template!$AB458=2,0.4,IF(Template!$AB458=3,0.2,IF(Template!$AB458=4,0.1,IF(Template!$AB458&gt;=5,0.05,"erro")))))</f>
        <v>0.05</v>
      </c>
      <c r="AD458" s="17" t="b">
        <f>Template!$D458=Template!$M458</f>
        <v>0</v>
      </c>
      <c r="AE458" s="12" t="s">
        <v>58</v>
      </c>
    </row>
    <row r="459" ht="15.75" customHeight="1">
      <c r="A459" s="7" t="s">
        <v>190</v>
      </c>
      <c r="B459" s="7" t="s">
        <v>191</v>
      </c>
      <c r="C459" s="7" t="s">
        <v>253</v>
      </c>
      <c r="D459" s="13">
        <v>18861.0</v>
      </c>
      <c r="E459" s="7" t="s">
        <v>196</v>
      </c>
      <c r="F459" s="13"/>
      <c r="G459" s="14" t="s">
        <v>63</v>
      </c>
      <c r="H459" s="7" t="s">
        <v>237</v>
      </c>
      <c r="I459" s="7" t="s">
        <v>238</v>
      </c>
      <c r="J459" s="7" t="s">
        <v>70</v>
      </c>
      <c r="K459" s="15">
        <v>44138.0</v>
      </c>
      <c r="L459" s="15">
        <v>36229.0</v>
      </c>
      <c r="M459" s="13">
        <v>19855.0</v>
      </c>
      <c r="N459" s="7">
        <v>2067.0</v>
      </c>
      <c r="O459" s="7"/>
      <c r="P459" s="7">
        <v>13.33</v>
      </c>
      <c r="Q459" s="7"/>
      <c r="R459" s="20"/>
      <c r="S459" s="7"/>
      <c r="T459" s="20"/>
      <c r="U459" s="16">
        <f>SUM(Template!$N459:$O459)*Template!$P459+Template!$Q459</f>
        <v>27553.11</v>
      </c>
      <c r="V459" s="17" t="str">
        <f>IF(Template!$M459="CONSELHO","N",IF(Template!$AA459="N","N1",IF(Template!$AA459="N1","N2",IF(Template!$AA459="N2","N3",IF(Template!$AA459="N3","N4",IF(Template!$AA459="N4","N5",IF(Template!$AA459="N5","N6",IF(Template!$AA459="N6","N7",IF(Template!$AA459="N7","N8",IF(Template!$AA459="N8","N9",IF(Template!$AA459="N9","N10","NA")))))))))))</f>
        <v>N4</v>
      </c>
      <c r="W459" s="17">
        <f>COUNTIF(Template!$M$3:$M$619,Template!$D459)</f>
        <v>0</v>
      </c>
      <c r="X459" s="17" t="str">
        <f>IF(Template!$F459="","",SUMIF(Template!$M$3:$M$619,Template!$D459,Template!$AC$3:$AC$619))</f>
        <v/>
      </c>
      <c r="Y459" s="17" t="str">
        <f>IFERROR(VLOOKUP(Template!$M459,Template!$D$3:$G$619,MATCH("EmployeeJobTitle",Template!$D$2:$G$2,0),FALSE),"NA")</f>
        <v>GERENTE DE LOJA</v>
      </c>
      <c r="Z459" s="17" t="str">
        <f>IFERROR(VLOOKUP(Template!$M459,Template!$D$3:$G$619,MATCH("EmployeeGroup",Template!$D$2:$G$2,0),FALSE),"NA")</f>
        <v>GERENTE</v>
      </c>
      <c r="AA459" s="17" t="str">
        <f>IFERROR(VLOOKUP(Template!$M459,Template!$D$3:$V$619,MATCH("Layer",Template!$D$2:$V$2,0),FALSE),"NA")</f>
        <v>N3</v>
      </c>
      <c r="AB459" s="21">
        <f>VLOOKUP(Template!$M459,Template!$D$3:$F$619,MATCH("InternalGrade",Template!$D$2:$F$2,0),FALSE)-Template!$F459</f>
        <v>0</v>
      </c>
      <c r="AC459" s="17">
        <f>IF(Template!$AB459&lt;=1, 0.8,IF(Template!$AB459=2,0.4,IF(Template!$AB459=3,0.2,IF(Template!$AB459=4,0.1,IF(Template!$AB459&gt;=5,0.05,"erro")))))</f>
        <v>0.8</v>
      </c>
      <c r="AD459" s="17" t="b">
        <f>Template!$D459=Template!$M459</f>
        <v>0</v>
      </c>
      <c r="AE459" s="12" t="s">
        <v>58</v>
      </c>
    </row>
    <row r="460" ht="15.75" customHeight="1">
      <c r="A460" s="7" t="s">
        <v>190</v>
      </c>
      <c r="B460" s="7" t="s">
        <v>191</v>
      </c>
      <c r="C460" s="7" t="s">
        <v>253</v>
      </c>
      <c r="D460" s="13">
        <v>25313.0</v>
      </c>
      <c r="E460" s="7" t="s">
        <v>193</v>
      </c>
      <c r="F460" s="13"/>
      <c r="G460" s="14" t="s">
        <v>63</v>
      </c>
      <c r="H460" s="7" t="s">
        <v>237</v>
      </c>
      <c r="I460" s="7" t="s">
        <v>238</v>
      </c>
      <c r="J460" s="7" t="s">
        <v>70</v>
      </c>
      <c r="K460" s="15">
        <v>45516.0</v>
      </c>
      <c r="L460" s="15">
        <v>34990.0</v>
      </c>
      <c r="M460" s="13">
        <v>19855.0</v>
      </c>
      <c r="N460" s="7"/>
      <c r="O460" s="7"/>
      <c r="P460" s="7">
        <v>13.33</v>
      </c>
      <c r="Q460" s="7"/>
      <c r="R460" s="20"/>
      <c r="S460" s="7"/>
      <c r="T460" s="20"/>
      <c r="U460" s="16">
        <f>SUM(Template!$N460:$O460)*Template!$P460+Template!$Q460</f>
        <v>0</v>
      </c>
      <c r="V460" s="17" t="str">
        <f>IF(Template!$M460="CONSELHO","N",IF(Template!$AA460="N","N1",IF(Template!$AA460="N1","N2",IF(Template!$AA460="N2","N3",IF(Template!$AA460="N3","N4",IF(Template!$AA460="N4","N5",IF(Template!$AA460="N5","N6",IF(Template!$AA460="N6","N7",IF(Template!$AA460="N7","N8",IF(Template!$AA460="N8","N9",IF(Template!$AA460="N9","N10","NA")))))))))))</f>
        <v>N4</v>
      </c>
      <c r="W460" s="17">
        <f>COUNTIF(Template!$M$3:$M$619,Template!$D460)</f>
        <v>0</v>
      </c>
      <c r="X460" s="17" t="str">
        <f>IF(Template!$F460="","",SUMIF(Template!$M$3:$M$619,Template!$D460,Template!$AC$3:$AC$619))</f>
        <v/>
      </c>
      <c r="Y460" s="17" t="str">
        <f>IFERROR(VLOOKUP(Template!$M460,Template!$D$3:$G$619,MATCH("EmployeeJobTitle",Template!$D$2:$G$2,0),FALSE),"NA")</f>
        <v>GERENTE DE LOJA</v>
      </c>
      <c r="Z460" s="17" t="str">
        <f>IFERROR(VLOOKUP(Template!$M460,Template!$D$3:$G$619,MATCH("EmployeeGroup",Template!$D$2:$G$2,0),FALSE),"NA")</f>
        <v>GERENTE</v>
      </c>
      <c r="AA460" s="17" t="str">
        <f>IFERROR(VLOOKUP(Template!$M460,Template!$D$3:$V$619,MATCH("Layer",Template!$D$2:$V$2,0),FALSE),"NA")</f>
        <v>N3</v>
      </c>
      <c r="AB460" s="21">
        <f>VLOOKUP(Template!$M460,Template!$D$3:$F$619,MATCH("InternalGrade",Template!$D$2:$F$2,0),FALSE)-Template!$F460</f>
        <v>0</v>
      </c>
      <c r="AC460" s="17">
        <f>IF(Template!$AB460&lt;=1, 0.8,IF(Template!$AB460=2,0.4,IF(Template!$AB460=3,0.2,IF(Template!$AB460=4,0.1,IF(Template!$AB460&gt;=5,0.05,"erro")))))</f>
        <v>0.8</v>
      </c>
      <c r="AD460" s="17" t="b">
        <f>Template!$D460=Template!$M460</f>
        <v>0</v>
      </c>
      <c r="AE460" s="12" t="s">
        <v>58</v>
      </c>
    </row>
    <row r="461" ht="15.75" customHeight="1">
      <c r="A461" s="7" t="s">
        <v>190</v>
      </c>
      <c r="B461" s="7" t="s">
        <v>191</v>
      </c>
      <c r="C461" s="7" t="s">
        <v>253</v>
      </c>
      <c r="D461" s="13">
        <v>24599.0</v>
      </c>
      <c r="E461" s="7" t="s">
        <v>193</v>
      </c>
      <c r="F461" s="13"/>
      <c r="G461" s="14" t="s">
        <v>63</v>
      </c>
      <c r="H461" s="7" t="s">
        <v>237</v>
      </c>
      <c r="I461" s="7" t="s">
        <v>238</v>
      </c>
      <c r="J461" s="7" t="s">
        <v>70</v>
      </c>
      <c r="K461" s="15">
        <v>45239.0</v>
      </c>
      <c r="L461" s="15">
        <v>32155.0</v>
      </c>
      <c r="M461" s="13">
        <v>19855.0</v>
      </c>
      <c r="N461" s="7"/>
      <c r="O461" s="7"/>
      <c r="P461" s="7">
        <v>13.33</v>
      </c>
      <c r="Q461" s="7"/>
      <c r="R461" s="20"/>
      <c r="S461" s="7"/>
      <c r="T461" s="20"/>
      <c r="U461" s="16">
        <f>SUM(Template!$N461:$O461)*Template!$P461+Template!$Q461</f>
        <v>0</v>
      </c>
      <c r="V461" s="17" t="str">
        <f>IF(Template!$M461="CONSELHO","N",IF(Template!$AA461="N","N1",IF(Template!$AA461="N1","N2",IF(Template!$AA461="N2","N3",IF(Template!$AA461="N3","N4",IF(Template!$AA461="N4","N5",IF(Template!$AA461="N5","N6",IF(Template!$AA461="N6","N7",IF(Template!$AA461="N7","N8",IF(Template!$AA461="N8","N9",IF(Template!$AA461="N9","N10","NA")))))))))))</f>
        <v>N4</v>
      </c>
      <c r="W461" s="17">
        <f>COUNTIF(Template!$M$3:$M$619,Template!$D461)</f>
        <v>0</v>
      </c>
      <c r="X461" s="17" t="str">
        <f>IF(Template!$F461="","",SUMIF(Template!$M$3:$M$619,Template!$D461,Template!$AC$3:$AC$619))</f>
        <v/>
      </c>
      <c r="Y461" s="17" t="str">
        <f>IFERROR(VLOOKUP(Template!$M461,Template!$D$3:$G$619,MATCH("EmployeeJobTitle",Template!$D$2:$G$2,0),FALSE),"NA")</f>
        <v>GERENTE DE LOJA</v>
      </c>
      <c r="Z461" s="17" t="str">
        <f>IFERROR(VLOOKUP(Template!$M461,Template!$D$3:$G$619,MATCH("EmployeeGroup",Template!$D$2:$G$2,0),FALSE),"NA")</f>
        <v>GERENTE</v>
      </c>
      <c r="AA461" s="17" t="str">
        <f>IFERROR(VLOOKUP(Template!$M461,Template!$D$3:$V$619,MATCH("Layer",Template!$D$2:$V$2,0),FALSE),"NA")</f>
        <v>N3</v>
      </c>
      <c r="AB461" s="21">
        <f>VLOOKUP(Template!$M461,Template!$D$3:$F$619,MATCH("InternalGrade",Template!$D$2:$F$2,0),FALSE)-Template!$F461</f>
        <v>0</v>
      </c>
      <c r="AC461" s="17">
        <f>IF(Template!$AB461&lt;=1, 0.8,IF(Template!$AB461=2,0.4,IF(Template!$AB461=3,0.2,IF(Template!$AB461=4,0.1,IF(Template!$AB461&gt;=5,0.05,"erro")))))</f>
        <v>0.8</v>
      </c>
      <c r="AD461" s="17" t="b">
        <f>Template!$D461=Template!$M461</f>
        <v>0</v>
      </c>
      <c r="AE461" s="12" t="s">
        <v>58</v>
      </c>
    </row>
    <row r="462" ht="15.75" customHeight="1">
      <c r="A462" s="7" t="s">
        <v>190</v>
      </c>
      <c r="B462" s="7" t="s">
        <v>191</v>
      </c>
      <c r="C462" s="7" t="s">
        <v>253</v>
      </c>
      <c r="D462" s="13">
        <v>25400.0</v>
      </c>
      <c r="E462" s="7" t="s">
        <v>198</v>
      </c>
      <c r="F462" s="13"/>
      <c r="G462" s="14" t="s">
        <v>63</v>
      </c>
      <c r="H462" s="7" t="s">
        <v>237</v>
      </c>
      <c r="I462" s="7" t="s">
        <v>238</v>
      </c>
      <c r="J462" s="7" t="s">
        <v>70</v>
      </c>
      <c r="K462" s="15">
        <v>45566.0</v>
      </c>
      <c r="L462" s="15">
        <v>34194.0</v>
      </c>
      <c r="M462" s="13">
        <v>19855.0</v>
      </c>
      <c r="N462" s="7">
        <v>1723.93</v>
      </c>
      <c r="O462" s="7"/>
      <c r="P462" s="7">
        <v>13.33</v>
      </c>
      <c r="Q462" s="7"/>
      <c r="R462" s="20"/>
      <c r="S462" s="7"/>
      <c r="T462" s="20"/>
      <c r="U462" s="16">
        <f>SUM(Template!$N462:$O462)*Template!$P462+Template!$Q462</f>
        <v>22979.9869</v>
      </c>
      <c r="V462" s="17" t="str">
        <f>IF(Template!$M462="CONSELHO","N",IF(Template!$AA462="N","N1",IF(Template!$AA462="N1","N2",IF(Template!$AA462="N2","N3",IF(Template!$AA462="N3","N4",IF(Template!$AA462="N4","N5",IF(Template!$AA462="N5","N6",IF(Template!$AA462="N6","N7",IF(Template!$AA462="N7","N8",IF(Template!$AA462="N8","N9",IF(Template!$AA462="N9","N10","NA")))))))))))</f>
        <v>N4</v>
      </c>
      <c r="W462" s="17">
        <f>COUNTIF(Template!$M$3:$M$619,Template!$D462)</f>
        <v>0</v>
      </c>
      <c r="X462" s="17" t="str">
        <f>IF(Template!$F462="","",SUMIF(Template!$M$3:$M$619,Template!$D462,Template!$AC$3:$AC$619))</f>
        <v/>
      </c>
      <c r="Y462" s="17" t="str">
        <f>IFERROR(VLOOKUP(Template!$M462,Template!$D$3:$G$619,MATCH("EmployeeJobTitle",Template!$D$2:$G$2,0),FALSE),"NA")</f>
        <v>GERENTE DE LOJA</v>
      </c>
      <c r="Z462" s="17" t="str">
        <f>IFERROR(VLOOKUP(Template!$M462,Template!$D$3:$G$619,MATCH("EmployeeGroup",Template!$D$2:$G$2,0),FALSE),"NA")</f>
        <v>GERENTE</v>
      </c>
      <c r="AA462" s="17" t="str">
        <f>IFERROR(VLOOKUP(Template!$M462,Template!$D$3:$V$619,MATCH("Layer",Template!$D$2:$V$2,0),FALSE),"NA")</f>
        <v>N3</v>
      </c>
      <c r="AB462" s="21">
        <f>VLOOKUP(Template!$M462,Template!$D$3:$F$619,MATCH("InternalGrade",Template!$D$2:$F$2,0),FALSE)-Template!$F462</f>
        <v>0</v>
      </c>
      <c r="AC462" s="17">
        <f>IF(Template!$AB462&lt;=1, 0.8,IF(Template!$AB462=2,0.4,IF(Template!$AB462=3,0.2,IF(Template!$AB462=4,0.1,IF(Template!$AB462&gt;=5,0.05,"erro")))))</f>
        <v>0.8</v>
      </c>
      <c r="AD462" s="17" t="b">
        <f>Template!$D462=Template!$M462</f>
        <v>0</v>
      </c>
      <c r="AE462" s="12" t="s">
        <v>58</v>
      </c>
    </row>
    <row r="463" ht="15.75" customHeight="1">
      <c r="A463" s="7" t="s">
        <v>190</v>
      </c>
      <c r="B463" s="7" t="s">
        <v>191</v>
      </c>
      <c r="C463" s="7" t="s">
        <v>253</v>
      </c>
      <c r="D463" s="13">
        <v>25455.0</v>
      </c>
      <c r="E463" s="7" t="s">
        <v>196</v>
      </c>
      <c r="F463" s="13"/>
      <c r="G463" s="14" t="s">
        <v>63</v>
      </c>
      <c r="H463" s="7" t="s">
        <v>237</v>
      </c>
      <c r="I463" s="7" t="s">
        <v>238</v>
      </c>
      <c r="J463" s="7" t="s">
        <v>70</v>
      </c>
      <c r="K463" s="15">
        <v>45579.0</v>
      </c>
      <c r="L463" s="15">
        <v>32520.0</v>
      </c>
      <c r="M463" s="13">
        <v>19855.0</v>
      </c>
      <c r="N463" s="7">
        <v>1836.0</v>
      </c>
      <c r="O463" s="7"/>
      <c r="P463" s="7">
        <v>13.33</v>
      </c>
      <c r="Q463" s="7"/>
      <c r="R463" s="20"/>
      <c r="S463" s="7"/>
      <c r="T463" s="20"/>
      <c r="U463" s="16">
        <f>SUM(Template!$N463:$O463)*Template!$P463+Template!$Q463</f>
        <v>24473.88</v>
      </c>
      <c r="V463" s="17" t="str">
        <f>IF(Template!$M463="CONSELHO","N",IF(Template!$AA463="N","N1",IF(Template!$AA463="N1","N2",IF(Template!$AA463="N2","N3",IF(Template!$AA463="N3","N4",IF(Template!$AA463="N4","N5",IF(Template!$AA463="N5","N6",IF(Template!$AA463="N6","N7",IF(Template!$AA463="N7","N8",IF(Template!$AA463="N8","N9",IF(Template!$AA463="N9","N10","NA")))))))))))</f>
        <v>N4</v>
      </c>
      <c r="W463" s="17">
        <f>COUNTIF(Template!$M$3:$M$619,Template!$D463)</f>
        <v>0</v>
      </c>
      <c r="X463" s="17" t="str">
        <f>IF(Template!$F463="","",SUMIF(Template!$M$3:$M$619,Template!$D463,Template!$AC$3:$AC$619))</f>
        <v/>
      </c>
      <c r="Y463" s="17" t="str">
        <f>IFERROR(VLOOKUP(Template!$M463,Template!$D$3:$G$619,MATCH("EmployeeJobTitle",Template!$D$2:$G$2,0),FALSE),"NA")</f>
        <v>GERENTE DE LOJA</v>
      </c>
      <c r="Z463" s="17" t="str">
        <f>IFERROR(VLOOKUP(Template!$M463,Template!$D$3:$G$619,MATCH("EmployeeGroup",Template!$D$2:$G$2,0),FALSE),"NA")</f>
        <v>GERENTE</v>
      </c>
      <c r="AA463" s="17" t="str">
        <f>IFERROR(VLOOKUP(Template!$M463,Template!$D$3:$V$619,MATCH("Layer",Template!$D$2:$V$2,0),FALSE),"NA")</f>
        <v>N3</v>
      </c>
      <c r="AB463" s="21">
        <f>VLOOKUP(Template!$M463,Template!$D$3:$F$619,MATCH("InternalGrade",Template!$D$2:$F$2,0),FALSE)-Template!$F463</f>
        <v>0</v>
      </c>
      <c r="AC463" s="17">
        <f>IF(Template!$AB463&lt;=1, 0.8,IF(Template!$AB463=2,0.4,IF(Template!$AB463=3,0.2,IF(Template!$AB463=4,0.1,IF(Template!$AB463&gt;=5,0.05,"erro")))))</f>
        <v>0.8</v>
      </c>
      <c r="AD463" s="17" t="b">
        <f>Template!$D463=Template!$M463</f>
        <v>0</v>
      </c>
      <c r="AE463" s="12" t="s">
        <v>58</v>
      </c>
    </row>
    <row r="464" ht="15.75" customHeight="1">
      <c r="A464" s="7" t="s">
        <v>190</v>
      </c>
      <c r="B464" s="7" t="s">
        <v>209</v>
      </c>
      <c r="C464" s="7" t="s">
        <v>254</v>
      </c>
      <c r="D464" s="13">
        <v>14942.0</v>
      </c>
      <c r="E464" s="7" t="s">
        <v>203</v>
      </c>
      <c r="F464" s="13"/>
      <c r="G464" s="14" t="s">
        <v>63</v>
      </c>
      <c r="H464" s="7" t="s">
        <v>64</v>
      </c>
      <c r="I464" s="7" t="s">
        <v>65</v>
      </c>
      <c r="J464" s="7" t="s">
        <v>70</v>
      </c>
      <c r="K464" s="15">
        <v>42450.0</v>
      </c>
      <c r="L464" s="15">
        <v>31198.0</v>
      </c>
      <c r="M464" s="13">
        <v>21833.0</v>
      </c>
      <c r="N464" s="7"/>
      <c r="O464" s="7"/>
      <c r="P464" s="7">
        <v>13.33</v>
      </c>
      <c r="Q464" s="7"/>
      <c r="R464" s="20"/>
      <c r="S464" s="7"/>
      <c r="T464" s="20"/>
      <c r="U464" s="16">
        <f>SUM(Template!$N464:$O464)*Template!$P464+Template!$Q464</f>
        <v>0</v>
      </c>
      <c r="V464" s="17" t="str">
        <f>IF(Template!$M464="CONSELHO","N",IF(Template!$AA464="N","N1",IF(Template!$AA464="N1","N2",IF(Template!$AA464="N2","N3",IF(Template!$AA464="N3","N4",IF(Template!$AA464="N4","N5",IF(Template!$AA464="N5","N6",IF(Template!$AA464="N6","N7",IF(Template!$AA464="N7","N8",IF(Template!$AA464="N8","N9",IF(Template!$AA464="N9","N10","NA")))))))))))</f>
        <v>N4</v>
      </c>
      <c r="W464" s="17">
        <f>COUNTIF(Template!$M$3:$M$619,Template!$D464)</f>
        <v>0</v>
      </c>
      <c r="X464" s="17" t="str">
        <f>IF(Template!$F464="","",SUMIF(Template!$M$3:$M$619,Template!$D464,Template!$AC$3:$AC$619))</f>
        <v/>
      </c>
      <c r="Y464" s="17" t="str">
        <f>IFERROR(VLOOKUP(Template!$M464,Template!$D$3:$G$619,MATCH("EmployeeJobTitle",Template!$D$2:$G$2,0),FALSE),"NA")</f>
        <v>GERENTE DE LOJA</v>
      </c>
      <c r="Z464" s="17" t="str">
        <f>IFERROR(VLOOKUP(Template!$M464,Template!$D$3:$G$619,MATCH("EmployeeGroup",Template!$D$2:$G$2,0),FALSE),"NA")</f>
        <v>GERENTE</v>
      </c>
      <c r="AA464" s="17" t="str">
        <f>IFERROR(VLOOKUP(Template!$M464,Template!$D$3:$V$619,MATCH("Layer",Template!$D$2:$V$2,0),FALSE),"NA")</f>
        <v>N3</v>
      </c>
      <c r="AB464" s="21">
        <f>VLOOKUP(Template!$M464,Template!$D$3:$F$619,MATCH("InternalGrade",Template!$D$2:$F$2,0),FALSE)-Template!$F464</f>
        <v>0</v>
      </c>
      <c r="AC464" s="17">
        <f>IF(Template!$AB464&lt;=1, 0.8,IF(Template!$AB464=2,0.4,IF(Template!$AB464=3,0.2,IF(Template!$AB464=4,0.1,IF(Template!$AB464&gt;=5,0.05,"erro")))))</f>
        <v>0.8</v>
      </c>
      <c r="AD464" s="17" t="b">
        <f>Template!$D464=Template!$M464</f>
        <v>0</v>
      </c>
      <c r="AE464" s="12" t="s">
        <v>58</v>
      </c>
    </row>
    <row r="465" ht="15.75" customHeight="1">
      <c r="A465" s="7" t="s">
        <v>190</v>
      </c>
      <c r="B465" s="7" t="s">
        <v>209</v>
      </c>
      <c r="C465" s="7" t="s">
        <v>254</v>
      </c>
      <c r="D465" s="13">
        <v>19691.0</v>
      </c>
      <c r="E465" s="7" t="s">
        <v>204</v>
      </c>
      <c r="F465" s="13"/>
      <c r="G465" s="14" t="s">
        <v>63</v>
      </c>
      <c r="H465" s="7" t="s">
        <v>64</v>
      </c>
      <c r="I465" s="7" t="s">
        <v>65</v>
      </c>
      <c r="J465" s="7" t="s">
        <v>70</v>
      </c>
      <c r="K465" s="15">
        <v>44396.0</v>
      </c>
      <c r="L465" s="15">
        <v>32437.0</v>
      </c>
      <c r="M465" s="13">
        <v>21833.0</v>
      </c>
      <c r="N465" s="7"/>
      <c r="O465" s="7"/>
      <c r="P465" s="7">
        <v>13.33</v>
      </c>
      <c r="Q465" s="7"/>
      <c r="R465" s="20"/>
      <c r="S465" s="7"/>
      <c r="T465" s="20"/>
      <c r="U465" s="16">
        <f>SUM(Template!$N465:$O465)*Template!$P465+Template!$Q465</f>
        <v>0</v>
      </c>
      <c r="V465" s="17" t="str">
        <f>IF(Template!$M465="CONSELHO","N",IF(Template!$AA465="N","N1",IF(Template!$AA465="N1","N2",IF(Template!$AA465="N2","N3",IF(Template!$AA465="N3","N4",IF(Template!$AA465="N4","N5",IF(Template!$AA465="N5","N6",IF(Template!$AA465="N6","N7",IF(Template!$AA465="N7","N8",IF(Template!$AA465="N8","N9",IF(Template!$AA465="N9","N10","NA")))))))))))</f>
        <v>N4</v>
      </c>
      <c r="W465" s="17">
        <f>COUNTIF(Template!$M$3:$M$619,Template!$D465)</f>
        <v>0</v>
      </c>
      <c r="X465" s="17" t="str">
        <f>IF(Template!$F465="","",SUMIF(Template!$M$3:$M$619,Template!$D465,Template!$AC$3:$AC$619))</f>
        <v/>
      </c>
      <c r="Y465" s="17" t="str">
        <f>IFERROR(VLOOKUP(Template!$M465,Template!$D$3:$G$619,MATCH("EmployeeJobTitle",Template!$D$2:$G$2,0),FALSE),"NA")</f>
        <v>GERENTE DE LOJA</v>
      </c>
      <c r="Z465" s="17" t="str">
        <f>IFERROR(VLOOKUP(Template!$M465,Template!$D$3:$G$619,MATCH("EmployeeGroup",Template!$D$2:$G$2,0),FALSE),"NA")</f>
        <v>GERENTE</v>
      </c>
      <c r="AA465" s="17" t="str">
        <f>IFERROR(VLOOKUP(Template!$M465,Template!$D$3:$V$619,MATCH("Layer",Template!$D$2:$V$2,0),FALSE),"NA")</f>
        <v>N3</v>
      </c>
      <c r="AB465" s="21">
        <f>VLOOKUP(Template!$M465,Template!$D$3:$F$619,MATCH("InternalGrade",Template!$D$2:$F$2,0),FALSE)-Template!$F465</f>
        <v>0</v>
      </c>
      <c r="AC465" s="17">
        <f>IF(Template!$AB465&lt;=1, 0.8,IF(Template!$AB465=2,0.4,IF(Template!$AB465=3,0.2,IF(Template!$AB465=4,0.1,IF(Template!$AB465&gt;=5,0.05,"erro")))))</f>
        <v>0.8</v>
      </c>
      <c r="AD465" s="17" t="b">
        <f>Template!$D465=Template!$M465</f>
        <v>0</v>
      </c>
      <c r="AE465" s="12" t="s">
        <v>58</v>
      </c>
    </row>
    <row r="466" ht="15.75" customHeight="1">
      <c r="A466" s="7" t="s">
        <v>190</v>
      </c>
      <c r="B466" s="7" t="s">
        <v>209</v>
      </c>
      <c r="C466" s="7" t="s">
        <v>254</v>
      </c>
      <c r="D466" s="13">
        <v>21833.0</v>
      </c>
      <c r="E466" s="7" t="s">
        <v>199</v>
      </c>
      <c r="F466" s="13"/>
      <c r="G466" s="22" t="s">
        <v>200</v>
      </c>
      <c r="H466" s="7" t="s">
        <v>64</v>
      </c>
      <c r="I466" s="7" t="s">
        <v>65</v>
      </c>
      <c r="J466" s="7" t="s">
        <v>70</v>
      </c>
      <c r="K466" s="15">
        <v>44826.0</v>
      </c>
      <c r="L466" s="15">
        <v>32073.0</v>
      </c>
      <c r="M466" s="13">
        <v>18766.0</v>
      </c>
      <c r="N466" s="7">
        <v>4519.0</v>
      </c>
      <c r="O466" s="7"/>
      <c r="P466" s="7">
        <v>13.33</v>
      </c>
      <c r="Q466" s="7"/>
      <c r="R466" s="20"/>
      <c r="S466" s="7"/>
      <c r="T466" s="20"/>
      <c r="U466" s="16">
        <f>SUM(Template!$N466:$O466)*Template!$P466+Template!$Q466</f>
        <v>60238.27</v>
      </c>
      <c r="V466" s="17" t="str">
        <f>IF(Template!$M466="CONSELHO","N",IF(Template!$AA466="N","N1",IF(Template!$AA466="N1","N2",IF(Template!$AA466="N2","N3",IF(Template!$AA466="N3","N4",IF(Template!$AA466="N4","N5",IF(Template!$AA466="N5","N6",IF(Template!$AA466="N6","N7",IF(Template!$AA466="N7","N8",IF(Template!$AA466="N8","N9",IF(Template!$AA466="N9","N10","NA")))))))))))</f>
        <v>N3</v>
      </c>
      <c r="W466" s="17">
        <f>COUNTIF(Template!$M$3:$M$619,Template!$D466)</f>
        <v>9</v>
      </c>
      <c r="X466" s="17" t="str">
        <f>IF(Template!$F466="","",SUMIF(Template!$M$3:$M$619,Template!$D466,Template!$AC$3:$AC$619))</f>
        <v/>
      </c>
      <c r="Y466" s="17" t="str">
        <f>IFERROR(VLOOKUP(Template!$M466,Template!$D$3:$G$619,MATCH("EmployeeJobTitle",Template!$D$2:$G$2,0),FALSE),"NA")</f>
        <v>GERENTE COMERCIAL</v>
      </c>
      <c r="Z466" s="17" t="str">
        <f>IFERROR(VLOOKUP(Template!$M466,Template!$D$3:$G$619,MATCH("EmployeeGroup",Template!$D$2:$G$2,0),FALSE),"NA")</f>
        <v>Coordenador</v>
      </c>
      <c r="AA466" s="17" t="str">
        <f>IFERROR(VLOOKUP(Template!$M466,Template!$D$3:$V$619,MATCH("Layer",Template!$D$2:$V$2,0),FALSE),"NA")</f>
        <v>N2</v>
      </c>
      <c r="AB466" s="21">
        <f>VLOOKUP(Template!$M466,Template!$D$3:$F$619,MATCH("InternalGrade",Template!$D$2:$F$2,0),FALSE)-Template!$F466</f>
        <v>19</v>
      </c>
      <c r="AC466" s="17">
        <f>IF(Template!$AB466&lt;=1, 0.8,IF(Template!$AB466=2,0.4,IF(Template!$AB466=3,0.2,IF(Template!$AB466=4,0.1,IF(Template!$AB466&gt;=5,0.05,"erro")))))</f>
        <v>0.05</v>
      </c>
      <c r="AD466" s="17" t="b">
        <f>Template!$D466=Template!$M466</f>
        <v>0</v>
      </c>
      <c r="AE466" s="12" t="s">
        <v>58</v>
      </c>
    </row>
    <row r="467" ht="15.75" customHeight="1">
      <c r="A467" s="7" t="s">
        <v>190</v>
      </c>
      <c r="B467" s="7" t="s">
        <v>209</v>
      </c>
      <c r="C467" s="7" t="s">
        <v>254</v>
      </c>
      <c r="D467" s="13">
        <v>25357.0</v>
      </c>
      <c r="E467" s="7" t="s">
        <v>193</v>
      </c>
      <c r="F467" s="13"/>
      <c r="G467" s="14" t="s">
        <v>63</v>
      </c>
      <c r="H467" s="7" t="s">
        <v>64</v>
      </c>
      <c r="I467" s="7" t="s">
        <v>65</v>
      </c>
      <c r="J467" s="7" t="s">
        <v>70</v>
      </c>
      <c r="K467" s="15">
        <v>45544.0</v>
      </c>
      <c r="L467" s="15">
        <v>29589.0</v>
      </c>
      <c r="M467" s="13">
        <v>21833.0</v>
      </c>
      <c r="N467" s="7"/>
      <c r="O467" s="7"/>
      <c r="P467" s="7">
        <v>13.33</v>
      </c>
      <c r="Q467" s="7"/>
      <c r="R467" s="20"/>
      <c r="S467" s="7"/>
      <c r="T467" s="20"/>
      <c r="U467" s="16">
        <f>SUM(Template!$N467:$O467)*Template!$P467+Template!$Q467</f>
        <v>0</v>
      </c>
      <c r="V467" s="17" t="str">
        <f>IF(Template!$M467="CONSELHO","N",IF(Template!$AA467="N","N1",IF(Template!$AA467="N1","N2",IF(Template!$AA467="N2","N3",IF(Template!$AA467="N3","N4",IF(Template!$AA467="N4","N5",IF(Template!$AA467="N5","N6",IF(Template!$AA467="N6","N7",IF(Template!$AA467="N7","N8",IF(Template!$AA467="N8","N9",IF(Template!$AA467="N9","N10","NA")))))))))))</f>
        <v>N4</v>
      </c>
      <c r="W467" s="17">
        <f>COUNTIF(Template!$M$3:$M$619,Template!$D467)</f>
        <v>0</v>
      </c>
      <c r="X467" s="17" t="str">
        <f>IF(Template!$F467="","",SUMIF(Template!$M$3:$M$619,Template!$D467,Template!$AC$3:$AC$619))</f>
        <v/>
      </c>
      <c r="Y467" s="17" t="str">
        <f>IFERROR(VLOOKUP(Template!$M467,Template!$D$3:$G$619,MATCH("EmployeeJobTitle",Template!$D$2:$G$2,0),FALSE),"NA")</f>
        <v>GERENTE DE LOJA</v>
      </c>
      <c r="Z467" s="17" t="str">
        <f>IFERROR(VLOOKUP(Template!$M467,Template!$D$3:$G$619,MATCH("EmployeeGroup",Template!$D$2:$G$2,0),FALSE),"NA")</f>
        <v>GERENTE</v>
      </c>
      <c r="AA467" s="17" t="str">
        <f>IFERROR(VLOOKUP(Template!$M467,Template!$D$3:$V$619,MATCH("Layer",Template!$D$2:$V$2,0),FALSE),"NA")</f>
        <v>N3</v>
      </c>
      <c r="AB467" s="21">
        <f>VLOOKUP(Template!$M467,Template!$D$3:$F$619,MATCH("InternalGrade",Template!$D$2:$F$2,0),FALSE)-Template!$F467</f>
        <v>0</v>
      </c>
      <c r="AC467" s="17">
        <f>IF(Template!$AB467&lt;=1, 0.8,IF(Template!$AB467=2,0.4,IF(Template!$AB467=3,0.2,IF(Template!$AB467=4,0.1,IF(Template!$AB467&gt;=5,0.05,"erro")))))</f>
        <v>0.8</v>
      </c>
      <c r="AD467" s="17" t="b">
        <f>Template!$D467=Template!$M467</f>
        <v>0</v>
      </c>
      <c r="AE467" s="12" t="s">
        <v>58</v>
      </c>
    </row>
    <row r="468" ht="15.75" customHeight="1">
      <c r="A468" s="7" t="s">
        <v>190</v>
      </c>
      <c r="B468" s="7" t="s">
        <v>209</v>
      </c>
      <c r="C468" s="7" t="s">
        <v>254</v>
      </c>
      <c r="D468" s="13">
        <v>20098.0</v>
      </c>
      <c r="E468" s="7" t="s">
        <v>193</v>
      </c>
      <c r="F468" s="13"/>
      <c r="G468" s="14" t="s">
        <v>63</v>
      </c>
      <c r="H468" s="7" t="s">
        <v>64</v>
      </c>
      <c r="I468" s="7" t="s">
        <v>65</v>
      </c>
      <c r="J468" s="7" t="s">
        <v>70</v>
      </c>
      <c r="K468" s="15">
        <v>44516.0</v>
      </c>
      <c r="L468" s="15">
        <v>31120.0</v>
      </c>
      <c r="M468" s="13">
        <v>21833.0</v>
      </c>
      <c r="N468" s="7"/>
      <c r="O468" s="7"/>
      <c r="P468" s="7">
        <v>13.33</v>
      </c>
      <c r="Q468" s="7"/>
      <c r="R468" s="20"/>
      <c r="S468" s="7"/>
      <c r="T468" s="20"/>
      <c r="U468" s="16">
        <f>SUM(Template!$N468:$O468)*Template!$P468+Template!$Q468</f>
        <v>0</v>
      </c>
      <c r="V468" s="17" t="str">
        <f>IF(Template!$M468="CONSELHO","N",IF(Template!$AA468="N","N1",IF(Template!$AA468="N1","N2",IF(Template!$AA468="N2","N3",IF(Template!$AA468="N3","N4",IF(Template!$AA468="N4","N5",IF(Template!$AA468="N5","N6",IF(Template!$AA468="N6","N7",IF(Template!$AA468="N7","N8",IF(Template!$AA468="N8","N9",IF(Template!$AA468="N9","N10","NA")))))))))))</f>
        <v>N4</v>
      </c>
      <c r="W468" s="17">
        <f>COUNTIF(Template!$M$3:$M$619,Template!$D468)</f>
        <v>0</v>
      </c>
      <c r="X468" s="17" t="str">
        <f>IF(Template!$F468="","",SUMIF(Template!$M$3:$M$619,Template!$D468,Template!$AC$3:$AC$619))</f>
        <v/>
      </c>
      <c r="Y468" s="17" t="str">
        <f>IFERROR(VLOOKUP(Template!$M468,Template!$D$3:$G$619,MATCH("EmployeeJobTitle",Template!$D$2:$G$2,0),FALSE),"NA")</f>
        <v>GERENTE DE LOJA</v>
      </c>
      <c r="Z468" s="17" t="str">
        <f>IFERROR(VLOOKUP(Template!$M468,Template!$D$3:$G$619,MATCH("EmployeeGroup",Template!$D$2:$G$2,0),FALSE),"NA")</f>
        <v>GERENTE</v>
      </c>
      <c r="AA468" s="17" t="str">
        <f>IFERROR(VLOOKUP(Template!$M468,Template!$D$3:$V$619,MATCH("Layer",Template!$D$2:$V$2,0),FALSE),"NA")</f>
        <v>N3</v>
      </c>
      <c r="AB468" s="21">
        <f>VLOOKUP(Template!$M468,Template!$D$3:$F$619,MATCH("InternalGrade",Template!$D$2:$F$2,0),FALSE)-Template!$F468</f>
        <v>0</v>
      </c>
      <c r="AC468" s="17">
        <f>IF(Template!$AB468&lt;=1, 0.8,IF(Template!$AB468=2,0.4,IF(Template!$AB468=3,0.2,IF(Template!$AB468=4,0.1,IF(Template!$AB468&gt;=5,0.05,"erro")))))</f>
        <v>0.8</v>
      </c>
      <c r="AD468" s="17" t="b">
        <f>Template!$D468=Template!$M468</f>
        <v>0</v>
      </c>
      <c r="AE468" s="12" t="s">
        <v>58</v>
      </c>
    </row>
    <row r="469" ht="15.75" customHeight="1">
      <c r="A469" s="7" t="s">
        <v>190</v>
      </c>
      <c r="B469" s="7" t="s">
        <v>209</v>
      </c>
      <c r="C469" s="7" t="s">
        <v>254</v>
      </c>
      <c r="D469" s="13">
        <v>24865.0</v>
      </c>
      <c r="E469" s="7" t="s">
        <v>193</v>
      </c>
      <c r="F469" s="13"/>
      <c r="G469" s="14" t="s">
        <v>63</v>
      </c>
      <c r="H469" s="7" t="s">
        <v>64</v>
      </c>
      <c r="I469" s="7" t="s">
        <v>65</v>
      </c>
      <c r="J469" s="7" t="s">
        <v>70</v>
      </c>
      <c r="K469" s="15">
        <v>45334.0</v>
      </c>
      <c r="L469" s="15">
        <v>35182.0</v>
      </c>
      <c r="M469" s="13">
        <v>21833.0</v>
      </c>
      <c r="N469" s="7"/>
      <c r="O469" s="7"/>
      <c r="P469" s="7">
        <v>13.33</v>
      </c>
      <c r="Q469" s="7"/>
      <c r="R469" s="20"/>
      <c r="S469" s="7"/>
      <c r="T469" s="20"/>
      <c r="U469" s="16">
        <f>SUM(Template!$N469:$O469)*Template!$P469+Template!$Q469</f>
        <v>0</v>
      </c>
      <c r="V469" s="17" t="str">
        <f>IF(Template!$M469="CONSELHO","N",IF(Template!$AA469="N","N1",IF(Template!$AA469="N1","N2",IF(Template!$AA469="N2","N3",IF(Template!$AA469="N3","N4",IF(Template!$AA469="N4","N5",IF(Template!$AA469="N5","N6",IF(Template!$AA469="N6","N7",IF(Template!$AA469="N7","N8",IF(Template!$AA469="N8","N9",IF(Template!$AA469="N9","N10","NA")))))))))))</f>
        <v>N4</v>
      </c>
      <c r="W469" s="17">
        <f>COUNTIF(Template!$M$3:$M$619,Template!$D469)</f>
        <v>0</v>
      </c>
      <c r="X469" s="17" t="str">
        <f>IF(Template!$F469="","",SUMIF(Template!$M$3:$M$619,Template!$D469,Template!$AC$3:$AC$619))</f>
        <v/>
      </c>
      <c r="Y469" s="17" t="str">
        <f>IFERROR(VLOOKUP(Template!$M469,Template!$D$3:$G$619,MATCH("EmployeeJobTitle",Template!$D$2:$G$2,0),FALSE),"NA")</f>
        <v>GERENTE DE LOJA</v>
      </c>
      <c r="Z469" s="17" t="str">
        <f>IFERROR(VLOOKUP(Template!$M469,Template!$D$3:$G$619,MATCH("EmployeeGroup",Template!$D$2:$G$2,0),FALSE),"NA")</f>
        <v>GERENTE</v>
      </c>
      <c r="AA469" s="17" t="str">
        <f>IFERROR(VLOOKUP(Template!$M469,Template!$D$3:$V$619,MATCH("Layer",Template!$D$2:$V$2,0),FALSE),"NA")</f>
        <v>N3</v>
      </c>
      <c r="AB469" s="21">
        <f>VLOOKUP(Template!$M469,Template!$D$3:$F$619,MATCH("InternalGrade",Template!$D$2:$F$2,0),FALSE)-Template!$F469</f>
        <v>0</v>
      </c>
      <c r="AC469" s="17">
        <f>IF(Template!$AB469&lt;=1, 0.8,IF(Template!$AB469=2,0.4,IF(Template!$AB469=3,0.2,IF(Template!$AB469=4,0.1,IF(Template!$AB469&gt;=5,0.05,"erro")))))</f>
        <v>0.8</v>
      </c>
      <c r="AD469" s="17" t="b">
        <f>Template!$D469=Template!$M469</f>
        <v>0</v>
      </c>
      <c r="AE469" s="12" t="s">
        <v>58</v>
      </c>
    </row>
    <row r="470" ht="15.75" customHeight="1">
      <c r="A470" s="7" t="s">
        <v>190</v>
      </c>
      <c r="B470" s="7" t="s">
        <v>209</v>
      </c>
      <c r="C470" s="7" t="s">
        <v>254</v>
      </c>
      <c r="D470" s="13">
        <v>24928.0</v>
      </c>
      <c r="E470" s="7" t="s">
        <v>193</v>
      </c>
      <c r="F470" s="13"/>
      <c r="G470" s="14" t="s">
        <v>63</v>
      </c>
      <c r="H470" s="7" t="s">
        <v>64</v>
      </c>
      <c r="I470" s="7" t="s">
        <v>65</v>
      </c>
      <c r="J470" s="7" t="s">
        <v>70</v>
      </c>
      <c r="K470" s="15">
        <v>45369.0</v>
      </c>
      <c r="L470" s="15">
        <v>32207.0</v>
      </c>
      <c r="M470" s="13">
        <v>21833.0</v>
      </c>
      <c r="N470" s="7"/>
      <c r="O470" s="7"/>
      <c r="P470" s="7">
        <v>13.33</v>
      </c>
      <c r="Q470" s="7"/>
      <c r="R470" s="20"/>
      <c r="S470" s="7"/>
      <c r="T470" s="20"/>
      <c r="U470" s="16">
        <f>SUM(Template!$N470:$O470)*Template!$P470+Template!$Q470</f>
        <v>0</v>
      </c>
      <c r="V470" s="17" t="str">
        <f>IF(Template!$M470="CONSELHO","N",IF(Template!$AA470="N","N1",IF(Template!$AA470="N1","N2",IF(Template!$AA470="N2","N3",IF(Template!$AA470="N3","N4",IF(Template!$AA470="N4","N5",IF(Template!$AA470="N5","N6",IF(Template!$AA470="N6","N7",IF(Template!$AA470="N7","N8",IF(Template!$AA470="N8","N9",IF(Template!$AA470="N9","N10","NA")))))))))))</f>
        <v>N4</v>
      </c>
      <c r="W470" s="17">
        <f>COUNTIF(Template!$M$3:$M$619,Template!$D470)</f>
        <v>0</v>
      </c>
      <c r="X470" s="17" t="str">
        <f>IF(Template!$F470="","",SUMIF(Template!$M$3:$M$619,Template!$D470,Template!$AC$3:$AC$619))</f>
        <v/>
      </c>
      <c r="Y470" s="17" t="str">
        <f>IFERROR(VLOOKUP(Template!$M470,Template!$D$3:$G$619,MATCH("EmployeeJobTitle",Template!$D$2:$G$2,0),FALSE),"NA")</f>
        <v>GERENTE DE LOJA</v>
      </c>
      <c r="Z470" s="17" t="str">
        <f>IFERROR(VLOOKUP(Template!$M470,Template!$D$3:$G$619,MATCH("EmployeeGroup",Template!$D$2:$G$2,0),FALSE),"NA")</f>
        <v>GERENTE</v>
      </c>
      <c r="AA470" s="17" t="str">
        <f>IFERROR(VLOOKUP(Template!$M470,Template!$D$3:$V$619,MATCH("Layer",Template!$D$2:$V$2,0),FALSE),"NA")</f>
        <v>N3</v>
      </c>
      <c r="AB470" s="21">
        <f>VLOOKUP(Template!$M470,Template!$D$3:$F$619,MATCH("InternalGrade",Template!$D$2:$F$2,0),FALSE)-Template!$F470</f>
        <v>0</v>
      </c>
      <c r="AC470" s="17">
        <f>IF(Template!$AB470&lt;=1, 0.8,IF(Template!$AB470=2,0.4,IF(Template!$AB470=3,0.2,IF(Template!$AB470=4,0.1,IF(Template!$AB470&gt;=5,0.05,"erro")))))</f>
        <v>0.8</v>
      </c>
      <c r="AD470" s="17" t="b">
        <f>Template!$D470=Template!$M470</f>
        <v>0</v>
      </c>
      <c r="AE470" s="12" t="s">
        <v>58</v>
      </c>
    </row>
    <row r="471" ht="15.75" customHeight="1">
      <c r="A471" s="7" t="s">
        <v>190</v>
      </c>
      <c r="B471" s="7" t="s">
        <v>209</v>
      </c>
      <c r="C471" s="7" t="s">
        <v>254</v>
      </c>
      <c r="D471" s="13">
        <v>20517.0</v>
      </c>
      <c r="E471" s="7" t="s">
        <v>193</v>
      </c>
      <c r="F471" s="13"/>
      <c r="G471" s="14" t="s">
        <v>63</v>
      </c>
      <c r="H471" s="7" t="s">
        <v>64</v>
      </c>
      <c r="I471" s="7" t="s">
        <v>65</v>
      </c>
      <c r="J471" s="7" t="s">
        <v>70</v>
      </c>
      <c r="K471" s="15">
        <v>44683.0</v>
      </c>
      <c r="L471" s="15">
        <v>28307.0</v>
      </c>
      <c r="M471" s="13">
        <v>21833.0</v>
      </c>
      <c r="N471" s="7"/>
      <c r="O471" s="7"/>
      <c r="P471" s="7">
        <v>13.33</v>
      </c>
      <c r="Q471" s="7"/>
      <c r="R471" s="20"/>
      <c r="S471" s="7"/>
      <c r="T471" s="20"/>
      <c r="U471" s="16">
        <f>SUM(Template!$N471:$O471)*Template!$P471+Template!$Q471</f>
        <v>0</v>
      </c>
      <c r="V471" s="17" t="str">
        <f>IF(Template!$M471="CONSELHO","N",IF(Template!$AA471="N","N1",IF(Template!$AA471="N1","N2",IF(Template!$AA471="N2","N3",IF(Template!$AA471="N3","N4",IF(Template!$AA471="N4","N5",IF(Template!$AA471="N5","N6",IF(Template!$AA471="N6","N7",IF(Template!$AA471="N7","N8",IF(Template!$AA471="N8","N9",IF(Template!$AA471="N9","N10","NA")))))))))))</f>
        <v>N4</v>
      </c>
      <c r="W471" s="17">
        <f>COUNTIF(Template!$M$3:$M$619,Template!$D471)</f>
        <v>0</v>
      </c>
      <c r="X471" s="17" t="str">
        <f>IF(Template!$F471="","",SUMIF(Template!$M$3:$M$619,Template!$D471,Template!$AC$3:$AC$619))</f>
        <v/>
      </c>
      <c r="Y471" s="17" t="str">
        <f>IFERROR(VLOOKUP(Template!$M471,Template!$D$3:$G$619,MATCH("EmployeeJobTitle",Template!$D$2:$G$2,0),FALSE),"NA")</f>
        <v>GERENTE DE LOJA</v>
      </c>
      <c r="Z471" s="17" t="str">
        <f>IFERROR(VLOOKUP(Template!$M471,Template!$D$3:$G$619,MATCH("EmployeeGroup",Template!$D$2:$G$2,0),FALSE),"NA")</f>
        <v>GERENTE</v>
      </c>
      <c r="AA471" s="17" t="str">
        <f>IFERROR(VLOOKUP(Template!$M471,Template!$D$3:$V$619,MATCH("Layer",Template!$D$2:$V$2,0),FALSE),"NA")</f>
        <v>N3</v>
      </c>
      <c r="AB471" s="21">
        <f>VLOOKUP(Template!$M471,Template!$D$3:$F$619,MATCH("InternalGrade",Template!$D$2:$F$2,0),FALSE)-Template!$F471</f>
        <v>0</v>
      </c>
      <c r="AC471" s="17">
        <f>IF(Template!$AB471&lt;=1, 0.8,IF(Template!$AB471=2,0.4,IF(Template!$AB471=3,0.2,IF(Template!$AB471=4,0.1,IF(Template!$AB471&gt;=5,0.05,"erro")))))</f>
        <v>0.8</v>
      </c>
      <c r="AD471" s="17" t="b">
        <f>Template!$D471=Template!$M471</f>
        <v>0</v>
      </c>
      <c r="AE471" s="12" t="s">
        <v>58</v>
      </c>
    </row>
    <row r="472" ht="15.75" customHeight="1">
      <c r="A472" s="7" t="s">
        <v>190</v>
      </c>
      <c r="B472" s="7" t="s">
        <v>209</v>
      </c>
      <c r="C472" s="7" t="s">
        <v>254</v>
      </c>
      <c r="D472" s="13">
        <v>25372.0</v>
      </c>
      <c r="E472" s="7" t="s">
        <v>196</v>
      </c>
      <c r="F472" s="13"/>
      <c r="G472" s="14" t="s">
        <v>63</v>
      </c>
      <c r="H472" s="7" t="s">
        <v>64</v>
      </c>
      <c r="I472" s="7" t="s">
        <v>65</v>
      </c>
      <c r="J472" s="7" t="s">
        <v>70</v>
      </c>
      <c r="K472" s="15">
        <v>45544.0</v>
      </c>
      <c r="L472" s="15">
        <v>37933.0</v>
      </c>
      <c r="M472" s="13">
        <v>21833.0</v>
      </c>
      <c r="N472" s="7">
        <v>1893.0</v>
      </c>
      <c r="O472" s="7"/>
      <c r="P472" s="7">
        <v>13.33</v>
      </c>
      <c r="Q472" s="7"/>
      <c r="R472" s="20"/>
      <c r="S472" s="7"/>
      <c r="T472" s="20"/>
      <c r="U472" s="16">
        <f>SUM(Template!$N472:$O472)*Template!$P472+Template!$Q472</f>
        <v>25233.69</v>
      </c>
      <c r="V472" s="17" t="str">
        <f>IF(Template!$M472="CONSELHO","N",IF(Template!$AA472="N","N1",IF(Template!$AA472="N1","N2",IF(Template!$AA472="N2","N3",IF(Template!$AA472="N3","N4",IF(Template!$AA472="N4","N5",IF(Template!$AA472="N5","N6",IF(Template!$AA472="N6","N7",IF(Template!$AA472="N7","N8",IF(Template!$AA472="N8","N9",IF(Template!$AA472="N9","N10","NA")))))))))))</f>
        <v>N4</v>
      </c>
      <c r="W472" s="17">
        <f>COUNTIF(Template!$M$3:$M$619,Template!$D472)</f>
        <v>0</v>
      </c>
      <c r="X472" s="17" t="str">
        <f>IF(Template!$F472="","",SUMIF(Template!$M$3:$M$619,Template!$D472,Template!$AC$3:$AC$619))</f>
        <v/>
      </c>
      <c r="Y472" s="17" t="str">
        <f>IFERROR(VLOOKUP(Template!$M472,Template!$D$3:$G$619,MATCH("EmployeeJobTitle",Template!$D$2:$G$2,0),FALSE),"NA")</f>
        <v>GERENTE DE LOJA</v>
      </c>
      <c r="Z472" s="17" t="str">
        <f>IFERROR(VLOOKUP(Template!$M472,Template!$D$3:$G$619,MATCH("EmployeeGroup",Template!$D$2:$G$2,0),FALSE),"NA")</f>
        <v>GERENTE</v>
      </c>
      <c r="AA472" s="17" t="str">
        <f>IFERROR(VLOOKUP(Template!$M472,Template!$D$3:$V$619,MATCH("Layer",Template!$D$2:$V$2,0),FALSE),"NA")</f>
        <v>N3</v>
      </c>
      <c r="AB472" s="21">
        <f>VLOOKUP(Template!$M472,Template!$D$3:$F$619,MATCH("InternalGrade",Template!$D$2:$F$2,0),FALSE)-Template!$F472</f>
        <v>0</v>
      </c>
      <c r="AC472" s="17">
        <f>IF(Template!$AB472&lt;=1, 0.8,IF(Template!$AB472=2,0.4,IF(Template!$AB472=3,0.2,IF(Template!$AB472=4,0.1,IF(Template!$AB472&gt;=5,0.05,"erro")))))</f>
        <v>0.8</v>
      </c>
      <c r="AD472" s="17" t="b">
        <f>Template!$D472=Template!$M472</f>
        <v>0</v>
      </c>
      <c r="AE472" s="12" t="s">
        <v>58</v>
      </c>
    </row>
    <row r="473" ht="15.75" customHeight="1">
      <c r="A473" s="7" t="s">
        <v>190</v>
      </c>
      <c r="B473" s="7" t="s">
        <v>209</v>
      </c>
      <c r="C473" s="7" t="s">
        <v>254</v>
      </c>
      <c r="D473" s="13">
        <v>25415.0</v>
      </c>
      <c r="E473" s="7" t="s">
        <v>196</v>
      </c>
      <c r="F473" s="13"/>
      <c r="G473" s="14" t="s">
        <v>63</v>
      </c>
      <c r="H473" s="7" t="s">
        <v>64</v>
      </c>
      <c r="I473" s="7" t="s">
        <v>65</v>
      </c>
      <c r="J473" s="7" t="s">
        <v>70</v>
      </c>
      <c r="K473" s="15">
        <v>45566.0</v>
      </c>
      <c r="L473" s="15">
        <v>34663.0</v>
      </c>
      <c r="M473" s="13">
        <v>21833.0</v>
      </c>
      <c r="N473" s="7">
        <v>1893.0</v>
      </c>
      <c r="O473" s="7"/>
      <c r="P473" s="7">
        <v>13.33</v>
      </c>
      <c r="Q473" s="7"/>
      <c r="R473" s="20"/>
      <c r="S473" s="7"/>
      <c r="T473" s="20"/>
      <c r="U473" s="16">
        <f>SUM(Template!$N473:$O473)*Template!$P473+Template!$Q473</f>
        <v>25233.69</v>
      </c>
      <c r="V473" s="17" t="str">
        <f>IF(Template!$M473="CONSELHO","N",IF(Template!$AA473="N","N1",IF(Template!$AA473="N1","N2",IF(Template!$AA473="N2","N3",IF(Template!$AA473="N3","N4",IF(Template!$AA473="N4","N5",IF(Template!$AA473="N5","N6",IF(Template!$AA473="N6","N7",IF(Template!$AA473="N7","N8",IF(Template!$AA473="N8","N9",IF(Template!$AA473="N9","N10","NA")))))))))))</f>
        <v>N4</v>
      </c>
      <c r="W473" s="17">
        <f>COUNTIF(Template!$M$3:$M$619,Template!$D473)</f>
        <v>0</v>
      </c>
      <c r="X473" s="17" t="str">
        <f>IF(Template!$F473="","",SUMIF(Template!$M$3:$M$619,Template!$D473,Template!$AC$3:$AC$619))</f>
        <v/>
      </c>
      <c r="Y473" s="17" t="str">
        <f>IFERROR(VLOOKUP(Template!$M473,Template!$D$3:$G$619,MATCH("EmployeeJobTitle",Template!$D$2:$G$2,0),FALSE),"NA")</f>
        <v>GERENTE DE LOJA</v>
      </c>
      <c r="Z473" s="17" t="str">
        <f>IFERROR(VLOOKUP(Template!$M473,Template!$D$3:$G$619,MATCH("EmployeeGroup",Template!$D$2:$G$2,0),FALSE),"NA")</f>
        <v>GERENTE</v>
      </c>
      <c r="AA473" s="17" t="str">
        <f>IFERROR(VLOOKUP(Template!$M473,Template!$D$3:$V$619,MATCH("Layer",Template!$D$2:$V$2,0),FALSE),"NA")</f>
        <v>N3</v>
      </c>
      <c r="AB473" s="21">
        <f>VLOOKUP(Template!$M473,Template!$D$3:$F$619,MATCH("InternalGrade",Template!$D$2:$F$2,0),FALSE)-Template!$F473</f>
        <v>0</v>
      </c>
      <c r="AC473" s="17">
        <f>IF(Template!$AB473&lt;=1, 0.8,IF(Template!$AB473=2,0.4,IF(Template!$AB473=3,0.2,IF(Template!$AB473=4,0.1,IF(Template!$AB473&gt;=5,0.05,"erro")))))</f>
        <v>0.8</v>
      </c>
      <c r="AD473" s="17" t="b">
        <f>Template!$D473=Template!$M473</f>
        <v>0</v>
      </c>
      <c r="AE473" s="12" t="s">
        <v>58</v>
      </c>
    </row>
    <row r="474" ht="15.75" customHeight="1">
      <c r="A474" s="7" t="s">
        <v>190</v>
      </c>
      <c r="B474" s="7" t="s">
        <v>191</v>
      </c>
      <c r="C474" s="7" t="s">
        <v>255</v>
      </c>
      <c r="D474" s="13">
        <v>25328.0</v>
      </c>
      <c r="E474" s="7" t="s">
        <v>193</v>
      </c>
      <c r="F474" s="13"/>
      <c r="G474" s="14" t="s">
        <v>63</v>
      </c>
      <c r="H474" s="7" t="s">
        <v>256</v>
      </c>
      <c r="I474" s="7" t="s">
        <v>257</v>
      </c>
      <c r="J474" s="7" t="s">
        <v>70</v>
      </c>
      <c r="K474" s="15">
        <v>45526.0</v>
      </c>
      <c r="L474" s="15">
        <v>37395.0</v>
      </c>
      <c r="M474" s="13">
        <v>17853.0</v>
      </c>
      <c r="N474" s="7"/>
      <c r="O474" s="7"/>
      <c r="P474" s="7">
        <v>13.33</v>
      </c>
      <c r="Q474" s="7"/>
      <c r="R474" s="20"/>
      <c r="S474" s="7"/>
      <c r="T474" s="20"/>
      <c r="U474" s="16">
        <f>SUM(Template!$N474:$O474)*Template!$P474+Template!$Q474</f>
        <v>0</v>
      </c>
      <c r="V474" s="17" t="str">
        <f>IF(Template!$M474="CONSELHO","N",IF(Template!$AA474="N","N1",IF(Template!$AA474="N1","N2",IF(Template!$AA474="N2","N3",IF(Template!$AA474="N3","N4",IF(Template!$AA474="N4","N5",IF(Template!$AA474="N5","N6",IF(Template!$AA474="N6","N7",IF(Template!$AA474="N7","N8",IF(Template!$AA474="N8","N9",IF(Template!$AA474="N9","N10","NA")))))))))))</f>
        <v>N4</v>
      </c>
      <c r="W474" s="17">
        <f>COUNTIF(Template!$M$3:$M$619,Template!$D474)</f>
        <v>0</v>
      </c>
      <c r="X474" s="17" t="str">
        <f>IF(Template!$F474="","",SUMIF(Template!$M$3:$M$619,Template!$D474,Template!$AC$3:$AC$619))</f>
        <v/>
      </c>
      <c r="Y474" s="17" t="str">
        <f>IFERROR(VLOOKUP(Template!$M474,Template!$D$3:$G$619,MATCH("EmployeeJobTitle",Template!$D$2:$G$2,0),FALSE),"NA")</f>
        <v>GERENTE DE LOJA JR</v>
      </c>
      <c r="Z474" s="17" t="str">
        <f>IFERROR(VLOOKUP(Template!$M474,Template!$D$3:$G$619,MATCH("EmployeeGroup",Template!$D$2:$G$2,0),FALSE),"NA")</f>
        <v>GERENTE</v>
      </c>
      <c r="AA474" s="17" t="str">
        <f>IFERROR(VLOOKUP(Template!$M474,Template!$D$3:$V$619,MATCH("Layer",Template!$D$2:$V$2,0),FALSE),"NA")</f>
        <v>N3</v>
      </c>
      <c r="AB474" s="21">
        <f>VLOOKUP(Template!$M474,Template!$D$3:$F$619,MATCH("InternalGrade",Template!$D$2:$F$2,0),FALSE)-Template!$F474</f>
        <v>0</v>
      </c>
      <c r="AC474" s="17">
        <f>IF(Template!$AB474&lt;=1, 0.8,IF(Template!$AB474=2,0.4,IF(Template!$AB474=3,0.2,IF(Template!$AB474=4,0.1,IF(Template!$AB474&gt;=5,0.05,"erro")))))</f>
        <v>0.8</v>
      </c>
      <c r="AD474" s="17" t="b">
        <f>Template!$D474=Template!$M474</f>
        <v>0</v>
      </c>
      <c r="AE474" s="12" t="s">
        <v>58</v>
      </c>
    </row>
    <row r="475" ht="15.75" customHeight="1">
      <c r="A475" s="7" t="s">
        <v>190</v>
      </c>
      <c r="B475" s="7" t="s">
        <v>191</v>
      </c>
      <c r="C475" s="7" t="s">
        <v>255</v>
      </c>
      <c r="D475" s="13">
        <v>25192.0</v>
      </c>
      <c r="E475" s="7" t="s">
        <v>196</v>
      </c>
      <c r="F475" s="13"/>
      <c r="G475" s="14" t="s">
        <v>63</v>
      </c>
      <c r="H475" s="7" t="s">
        <v>256</v>
      </c>
      <c r="I475" s="7" t="s">
        <v>257</v>
      </c>
      <c r="J475" s="7" t="s">
        <v>70</v>
      </c>
      <c r="K475" s="15">
        <v>45483.0</v>
      </c>
      <c r="L475" s="15">
        <v>37573.0</v>
      </c>
      <c r="M475" s="13">
        <v>17853.0</v>
      </c>
      <c r="N475" s="7">
        <v>1716.0</v>
      </c>
      <c r="O475" s="7"/>
      <c r="P475" s="7">
        <v>13.33</v>
      </c>
      <c r="Q475" s="7"/>
      <c r="R475" s="20"/>
      <c r="S475" s="7"/>
      <c r="T475" s="20"/>
      <c r="U475" s="16">
        <f>SUM(Template!$N475:$O475)*Template!$P475+Template!$Q475</f>
        <v>22874.28</v>
      </c>
      <c r="V475" s="17" t="str">
        <f>IF(Template!$M475="CONSELHO","N",IF(Template!$AA475="N","N1",IF(Template!$AA475="N1","N2",IF(Template!$AA475="N2","N3",IF(Template!$AA475="N3","N4",IF(Template!$AA475="N4","N5",IF(Template!$AA475="N5","N6",IF(Template!$AA475="N6","N7",IF(Template!$AA475="N7","N8",IF(Template!$AA475="N8","N9",IF(Template!$AA475="N9","N10","NA")))))))))))</f>
        <v>N4</v>
      </c>
      <c r="W475" s="17">
        <f>COUNTIF(Template!$M$3:$M$619,Template!$D475)</f>
        <v>0</v>
      </c>
      <c r="X475" s="17" t="str">
        <f>IF(Template!$F475="","",SUMIF(Template!$M$3:$M$619,Template!$D475,Template!$AC$3:$AC$619))</f>
        <v/>
      </c>
      <c r="Y475" s="17" t="str">
        <f>IFERROR(VLOOKUP(Template!$M475,Template!$D$3:$G$619,MATCH("EmployeeJobTitle",Template!$D$2:$G$2,0),FALSE),"NA")</f>
        <v>GERENTE DE LOJA JR</v>
      </c>
      <c r="Z475" s="17" t="str">
        <f>IFERROR(VLOOKUP(Template!$M475,Template!$D$3:$G$619,MATCH("EmployeeGroup",Template!$D$2:$G$2,0),FALSE),"NA")</f>
        <v>GERENTE</v>
      </c>
      <c r="AA475" s="17" t="str">
        <f>IFERROR(VLOOKUP(Template!$M475,Template!$D$3:$V$619,MATCH("Layer",Template!$D$2:$V$2,0),FALSE),"NA")</f>
        <v>N3</v>
      </c>
      <c r="AB475" s="21">
        <f>VLOOKUP(Template!$M475,Template!$D$3:$F$619,MATCH("InternalGrade",Template!$D$2:$F$2,0),FALSE)-Template!$F475</f>
        <v>0</v>
      </c>
      <c r="AC475" s="17">
        <f>IF(Template!$AB475&lt;=1, 0.8,IF(Template!$AB475=2,0.4,IF(Template!$AB475=3,0.2,IF(Template!$AB475=4,0.1,IF(Template!$AB475&gt;=5,0.05,"erro")))))</f>
        <v>0.8</v>
      </c>
      <c r="AD475" s="17" t="b">
        <f>Template!$D475=Template!$M475</f>
        <v>0</v>
      </c>
      <c r="AE475" s="12" t="s">
        <v>58</v>
      </c>
    </row>
    <row r="476" ht="15.75" customHeight="1">
      <c r="A476" s="7" t="s">
        <v>190</v>
      </c>
      <c r="B476" s="7" t="s">
        <v>191</v>
      </c>
      <c r="C476" s="7" t="s">
        <v>255</v>
      </c>
      <c r="D476" s="13">
        <v>17631.0</v>
      </c>
      <c r="E476" s="7" t="s">
        <v>203</v>
      </c>
      <c r="F476" s="13"/>
      <c r="G476" s="14" t="s">
        <v>63</v>
      </c>
      <c r="H476" s="7" t="s">
        <v>256</v>
      </c>
      <c r="I476" s="7" t="s">
        <v>257</v>
      </c>
      <c r="J476" s="7" t="s">
        <v>70</v>
      </c>
      <c r="K476" s="15">
        <v>43570.0</v>
      </c>
      <c r="L476" s="15">
        <v>31911.0</v>
      </c>
      <c r="M476" s="13">
        <v>17853.0</v>
      </c>
      <c r="N476" s="7"/>
      <c r="O476" s="7"/>
      <c r="P476" s="7">
        <v>13.33</v>
      </c>
      <c r="Q476" s="7"/>
      <c r="R476" s="20"/>
      <c r="S476" s="7"/>
      <c r="T476" s="20"/>
      <c r="U476" s="16">
        <f>SUM(Template!$N476:$O476)*Template!$P476+Template!$Q476</f>
        <v>0</v>
      </c>
      <c r="V476" s="17" t="str">
        <f>IF(Template!$M476="CONSELHO","N",IF(Template!$AA476="N","N1",IF(Template!$AA476="N1","N2",IF(Template!$AA476="N2","N3",IF(Template!$AA476="N3","N4",IF(Template!$AA476="N4","N5",IF(Template!$AA476="N5","N6",IF(Template!$AA476="N6","N7",IF(Template!$AA476="N7","N8",IF(Template!$AA476="N8","N9",IF(Template!$AA476="N9","N10","NA")))))))))))</f>
        <v>N4</v>
      </c>
      <c r="W476" s="17">
        <f>COUNTIF(Template!$M$3:$M$619,Template!$D476)</f>
        <v>0</v>
      </c>
      <c r="X476" s="17" t="str">
        <f>IF(Template!$F476="","",SUMIF(Template!$M$3:$M$619,Template!$D476,Template!$AC$3:$AC$619))</f>
        <v/>
      </c>
      <c r="Y476" s="17" t="str">
        <f>IFERROR(VLOOKUP(Template!$M476,Template!$D$3:$G$619,MATCH("EmployeeJobTitle",Template!$D$2:$G$2,0),FALSE),"NA")</f>
        <v>GERENTE DE LOJA JR</v>
      </c>
      <c r="Z476" s="17" t="str">
        <f>IFERROR(VLOOKUP(Template!$M476,Template!$D$3:$G$619,MATCH("EmployeeGroup",Template!$D$2:$G$2,0),FALSE),"NA")</f>
        <v>GERENTE</v>
      </c>
      <c r="AA476" s="17" t="str">
        <f>IFERROR(VLOOKUP(Template!$M476,Template!$D$3:$V$619,MATCH("Layer",Template!$D$2:$V$2,0),FALSE),"NA")</f>
        <v>N3</v>
      </c>
      <c r="AB476" s="21">
        <f>VLOOKUP(Template!$M476,Template!$D$3:$F$619,MATCH("InternalGrade",Template!$D$2:$F$2,0),FALSE)-Template!$F476</f>
        <v>0</v>
      </c>
      <c r="AC476" s="17">
        <f>IF(Template!$AB476&lt;=1, 0.8,IF(Template!$AB476=2,0.4,IF(Template!$AB476=3,0.2,IF(Template!$AB476=4,0.1,IF(Template!$AB476&gt;=5,0.05,"erro")))))</f>
        <v>0.8</v>
      </c>
      <c r="AD476" s="17" t="b">
        <f>Template!$D476=Template!$M476</f>
        <v>0</v>
      </c>
      <c r="AE476" s="12" t="s">
        <v>58</v>
      </c>
    </row>
    <row r="477" ht="15.75" customHeight="1">
      <c r="A477" s="7" t="s">
        <v>190</v>
      </c>
      <c r="B477" s="7" t="s">
        <v>191</v>
      </c>
      <c r="C477" s="7" t="s">
        <v>255</v>
      </c>
      <c r="D477" s="13">
        <v>19579.0</v>
      </c>
      <c r="E477" s="7" t="s">
        <v>199</v>
      </c>
      <c r="F477" s="13"/>
      <c r="G477" s="22" t="s">
        <v>200</v>
      </c>
      <c r="H477" s="7" t="s">
        <v>256</v>
      </c>
      <c r="I477" s="7" t="s">
        <v>257</v>
      </c>
      <c r="J477" s="7" t="s">
        <v>70</v>
      </c>
      <c r="K477" s="15">
        <v>44348.0</v>
      </c>
      <c r="L477" s="15">
        <v>32555.0</v>
      </c>
      <c r="M477" s="13">
        <v>23256.0</v>
      </c>
      <c r="N477" s="7">
        <v>4641.0</v>
      </c>
      <c r="O477" s="7"/>
      <c r="P477" s="7">
        <v>13.33</v>
      </c>
      <c r="Q477" s="7"/>
      <c r="R477" s="20"/>
      <c r="S477" s="7"/>
      <c r="T477" s="20"/>
      <c r="U477" s="16">
        <f>SUM(Template!$N477:$O477)*Template!$P477+Template!$Q477</f>
        <v>61864.53</v>
      </c>
      <c r="V477" s="17" t="str">
        <f>IF(Template!$M477="CONSELHO","N",IF(Template!$AA477="N","N1",IF(Template!$AA477="N1","N2",IF(Template!$AA477="N2","N3",IF(Template!$AA477="N3","N4",IF(Template!$AA477="N4","N5",IF(Template!$AA477="N5","N6",IF(Template!$AA477="N6","N7",IF(Template!$AA477="N7","N8",IF(Template!$AA477="N8","N9",IF(Template!$AA477="N9","N10","NA")))))))))))</f>
        <v>N3</v>
      </c>
      <c r="W477" s="17">
        <f>COUNTIF(Template!$M$3:$M$619,Template!$D477)</f>
        <v>0</v>
      </c>
      <c r="X477" s="17" t="str">
        <f>IF(Template!$F477="","",SUMIF(Template!$M$3:$M$619,Template!$D477,Template!$AC$3:$AC$619))</f>
        <v/>
      </c>
      <c r="Y477" s="17" t="str">
        <f>IFERROR(VLOOKUP(Template!$M477,Template!$D$3:$G$619,MATCH("EmployeeJobTitle",Template!$D$2:$G$2,0),FALSE),"NA")</f>
        <v>GERENTE COMERCIAL</v>
      </c>
      <c r="Z477" s="17" t="str">
        <f>IFERROR(VLOOKUP(Template!$M477,Template!$D$3:$G$619,MATCH("EmployeeGroup",Template!$D$2:$G$2,0),FALSE),"NA")</f>
        <v>Coordenador</v>
      </c>
      <c r="AA477" s="17" t="str">
        <f>IFERROR(VLOOKUP(Template!$M477,Template!$D$3:$V$619,MATCH("Layer",Template!$D$2:$V$2,0),FALSE),"NA")</f>
        <v>N2</v>
      </c>
      <c r="AB477" s="21">
        <f>VLOOKUP(Template!$M477,Template!$D$3:$F$619,MATCH("InternalGrade",Template!$D$2:$F$2,0),FALSE)-Template!$F477</f>
        <v>19</v>
      </c>
      <c r="AC477" s="17">
        <f>IF(Template!$AB477&lt;=1, 0.8,IF(Template!$AB477=2,0.4,IF(Template!$AB477=3,0.2,IF(Template!$AB477=4,0.1,IF(Template!$AB477&gt;=5,0.05,"erro")))))</f>
        <v>0.05</v>
      </c>
      <c r="AD477" s="17" t="b">
        <f>Template!$D477=Template!$M477</f>
        <v>0</v>
      </c>
      <c r="AE477" s="12" t="s">
        <v>58</v>
      </c>
    </row>
    <row r="478" ht="15.75" customHeight="1">
      <c r="A478" s="7" t="s">
        <v>190</v>
      </c>
      <c r="B478" s="7" t="s">
        <v>191</v>
      </c>
      <c r="C478" s="7" t="s">
        <v>255</v>
      </c>
      <c r="D478" s="13">
        <v>25341.0</v>
      </c>
      <c r="E478" s="7" t="s">
        <v>193</v>
      </c>
      <c r="F478" s="13"/>
      <c r="G478" s="14" t="s">
        <v>63</v>
      </c>
      <c r="H478" s="7" t="s">
        <v>256</v>
      </c>
      <c r="I478" s="7" t="s">
        <v>257</v>
      </c>
      <c r="J478" s="7" t="s">
        <v>70</v>
      </c>
      <c r="K478" s="15">
        <v>45537.0</v>
      </c>
      <c r="L478" s="15">
        <v>36612.0</v>
      </c>
      <c r="M478" s="13">
        <v>17853.0</v>
      </c>
      <c r="N478" s="7"/>
      <c r="O478" s="7"/>
      <c r="P478" s="7">
        <v>13.33</v>
      </c>
      <c r="Q478" s="7"/>
      <c r="R478" s="20"/>
      <c r="S478" s="7"/>
      <c r="T478" s="20"/>
      <c r="U478" s="16">
        <f>SUM(Template!$N478:$O478)*Template!$P478+Template!$Q478</f>
        <v>0</v>
      </c>
      <c r="V478" s="17" t="str">
        <f>IF(Template!$M478="CONSELHO","N",IF(Template!$AA478="N","N1",IF(Template!$AA478="N1","N2",IF(Template!$AA478="N2","N3",IF(Template!$AA478="N3","N4",IF(Template!$AA478="N4","N5",IF(Template!$AA478="N5","N6",IF(Template!$AA478="N6","N7",IF(Template!$AA478="N7","N8",IF(Template!$AA478="N8","N9",IF(Template!$AA478="N9","N10","NA")))))))))))</f>
        <v>N4</v>
      </c>
      <c r="W478" s="17">
        <f>COUNTIF(Template!$M$3:$M$619,Template!$D478)</f>
        <v>0</v>
      </c>
      <c r="X478" s="17" t="str">
        <f>IF(Template!$F478="","",SUMIF(Template!$M$3:$M$619,Template!$D478,Template!$AC$3:$AC$619))</f>
        <v/>
      </c>
      <c r="Y478" s="17" t="str">
        <f>IFERROR(VLOOKUP(Template!$M478,Template!$D$3:$G$619,MATCH("EmployeeJobTitle",Template!$D$2:$G$2,0),FALSE),"NA")</f>
        <v>GERENTE DE LOJA JR</v>
      </c>
      <c r="Z478" s="17" t="str">
        <f>IFERROR(VLOOKUP(Template!$M478,Template!$D$3:$G$619,MATCH("EmployeeGroup",Template!$D$2:$G$2,0),FALSE),"NA")</f>
        <v>GERENTE</v>
      </c>
      <c r="AA478" s="17" t="str">
        <f>IFERROR(VLOOKUP(Template!$M478,Template!$D$3:$V$619,MATCH("Layer",Template!$D$2:$V$2,0),FALSE),"NA")</f>
        <v>N3</v>
      </c>
      <c r="AB478" s="21">
        <f>VLOOKUP(Template!$M478,Template!$D$3:$F$619,MATCH("InternalGrade",Template!$D$2:$F$2,0),FALSE)-Template!$F478</f>
        <v>0</v>
      </c>
      <c r="AC478" s="17">
        <f>IF(Template!$AB478&lt;=1, 0.8,IF(Template!$AB478=2,0.4,IF(Template!$AB478=3,0.2,IF(Template!$AB478=4,0.1,IF(Template!$AB478&gt;=5,0.05,"erro")))))</f>
        <v>0.8</v>
      </c>
      <c r="AD478" s="17" t="b">
        <f>Template!$D478=Template!$M478</f>
        <v>0</v>
      </c>
      <c r="AE478" s="12" t="s">
        <v>58</v>
      </c>
    </row>
    <row r="479" ht="15.75" customHeight="1">
      <c r="A479" s="7" t="s">
        <v>190</v>
      </c>
      <c r="B479" s="7" t="s">
        <v>191</v>
      </c>
      <c r="C479" s="7" t="s">
        <v>255</v>
      </c>
      <c r="D479" s="13">
        <v>24378.0</v>
      </c>
      <c r="E479" s="7" t="s">
        <v>203</v>
      </c>
      <c r="F479" s="13"/>
      <c r="G479" s="14" t="s">
        <v>63</v>
      </c>
      <c r="H479" s="7" t="s">
        <v>256</v>
      </c>
      <c r="I479" s="7" t="s">
        <v>257</v>
      </c>
      <c r="J479" s="7" t="s">
        <v>70</v>
      </c>
      <c r="K479" s="15">
        <v>45215.0</v>
      </c>
      <c r="L479" s="15">
        <v>27993.0</v>
      </c>
      <c r="M479" s="13">
        <v>17853.0</v>
      </c>
      <c r="N479" s="7"/>
      <c r="O479" s="7"/>
      <c r="P479" s="7">
        <v>13.33</v>
      </c>
      <c r="Q479" s="7"/>
      <c r="R479" s="20"/>
      <c r="S479" s="7"/>
      <c r="T479" s="20"/>
      <c r="U479" s="16">
        <f>SUM(Template!$N479:$O479)*Template!$P479+Template!$Q479</f>
        <v>0</v>
      </c>
      <c r="V479" s="17" t="str">
        <f>IF(Template!$M479="CONSELHO","N",IF(Template!$AA479="N","N1",IF(Template!$AA479="N1","N2",IF(Template!$AA479="N2","N3",IF(Template!$AA479="N3","N4",IF(Template!$AA479="N4","N5",IF(Template!$AA479="N5","N6",IF(Template!$AA479="N6","N7",IF(Template!$AA479="N7","N8",IF(Template!$AA479="N8","N9",IF(Template!$AA479="N9","N10","NA")))))))))))</f>
        <v>N4</v>
      </c>
      <c r="W479" s="17">
        <f>COUNTIF(Template!$M$3:$M$619,Template!$D479)</f>
        <v>0</v>
      </c>
      <c r="X479" s="17" t="str">
        <f>IF(Template!$F479="","",SUMIF(Template!$M$3:$M$619,Template!$D479,Template!$AC$3:$AC$619))</f>
        <v/>
      </c>
      <c r="Y479" s="17" t="str">
        <f>IFERROR(VLOOKUP(Template!$M479,Template!$D$3:$G$619,MATCH("EmployeeJobTitle",Template!$D$2:$G$2,0),FALSE),"NA")</f>
        <v>GERENTE DE LOJA JR</v>
      </c>
      <c r="Z479" s="17" t="str">
        <f>IFERROR(VLOOKUP(Template!$M479,Template!$D$3:$G$619,MATCH("EmployeeGroup",Template!$D$2:$G$2,0),FALSE),"NA")</f>
        <v>GERENTE</v>
      </c>
      <c r="AA479" s="17" t="str">
        <f>IFERROR(VLOOKUP(Template!$M479,Template!$D$3:$V$619,MATCH("Layer",Template!$D$2:$V$2,0),FALSE),"NA")</f>
        <v>N3</v>
      </c>
      <c r="AB479" s="21">
        <f>VLOOKUP(Template!$M479,Template!$D$3:$F$619,MATCH("InternalGrade",Template!$D$2:$F$2,0),FALSE)-Template!$F479</f>
        <v>0</v>
      </c>
      <c r="AC479" s="17">
        <f>IF(Template!$AB479&lt;=1, 0.8,IF(Template!$AB479=2,0.4,IF(Template!$AB479=3,0.2,IF(Template!$AB479=4,0.1,IF(Template!$AB479&gt;=5,0.05,"erro")))))</f>
        <v>0.8</v>
      </c>
      <c r="AD479" s="17" t="b">
        <f>Template!$D479=Template!$M479</f>
        <v>0</v>
      </c>
      <c r="AE479" s="12" t="s">
        <v>58</v>
      </c>
    </row>
    <row r="480" ht="15.75" customHeight="1">
      <c r="A480" s="7" t="s">
        <v>190</v>
      </c>
      <c r="B480" s="7" t="s">
        <v>191</v>
      </c>
      <c r="C480" s="7" t="s">
        <v>255</v>
      </c>
      <c r="D480" s="13">
        <v>25345.0</v>
      </c>
      <c r="E480" s="7" t="s">
        <v>193</v>
      </c>
      <c r="F480" s="13"/>
      <c r="G480" s="14" t="s">
        <v>63</v>
      </c>
      <c r="H480" s="7" t="s">
        <v>256</v>
      </c>
      <c r="I480" s="7" t="s">
        <v>257</v>
      </c>
      <c r="J480" s="7" t="s">
        <v>70</v>
      </c>
      <c r="K480" s="15">
        <v>45537.0</v>
      </c>
      <c r="L480" s="15">
        <v>35586.0</v>
      </c>
      <c r="M480" s="13">
        <v>17853.0</v>
      </c>
      <c r="N480" s="7"/>
      <c r="O480" s="7"/>
      <c r="P480" s="7">
        <v>13.33</v>
      </c>
      <c r="Q480" s="7"/>
      <c r="R480" s="20"/>
      <c r="S480" s="7"/>
      <c r="T480" s="20"/>
      <c r="U480" s="16">
        <f>SUM(Template!$N480:$O480)*Template!$P480+Template!$Q480</f>
        <v>0</v>
      </c>
      <c r="V480" s="17" t="str">
        <f>IF(Template!$M480="CONSELHO","N",IF(Template!$AA480="N","N1",IF(Template!$AA480="N1","N2",IF(Template!$AA480="N2","N3",IF(Template!$AA480="N3","N4",IF(Template!$AA480="N4","N5",IF(Template!$AA480="N5","N6",IF(Template!$AA480="N6","N7",IF(Template!$AA480="N7","N8",IF(Template!$AA480="N8","N9",IF(Template!$AA480="N9","N10","NA")))))))))))</f>
        <v>N4</v>
      </c>
      <c r="W480" s="17">
        <f>COUNTIF(Template!$M$3:$M$619,Template!$D480)</f>
        <v>0</v>
      </c>
      <c r="X480" s="17" t="str">
        <f>IF(Template!$F480="","",SUMIF(Template!$M$3:$M$619,Template!$D480,Template!$AC$3:$AC$619))</f>
        <v/>
      </c>
      <c r="Y480" s="17" t="str">
        <f>IFERROR(VLOOKUP(Template!$M480,Template!$D$3:$G$619,MATCH("EmployeeJobTitle",Template!$D$2:$G$2,0),FALSE),"NA")</f>
        <v>GERENTE DE LOJA JR</v>
      </c>
      <c r="Z480" s="17" t="str">
        <f>IFERROR(VLOOKUP(Template!$M480,Template!$D$3:$G$619,MATCH("EmployeeGroup",Template!$D$2:$G$2,0),FALSE),"NA")</f>
        <v>GERENTE</v>
      </c>
      <c r="AA480" s="17" t="str">
        <f>IFERROR(VLOOKUP(Template!$M480,Template!$D$3:$V$619,MATCH("Layer",Template!$D$2:$V$2,0),FALSE),"NA")</f>
        <v>N3</v>
      </c>
      <c r="AB480" s="21">
        <f>VLOOKUP(Template!$M480,Template!$D$3:$F$619,MATCH("InternalGrade",Template!$D$2:$F$2,0),FALSE)-Template!$F480</f>
        <v>0</v>
      </c>
      <c r="AC480" s="17">
        <f>IF(Template!$AB480&lt;=1, 0.8,IF(Template!$AB480=2,0.4,IF(Template!$AB480=3,0.2,IF(Template!$AB480=4,0.1,IF(Template!$AB480&gt;=5,0.05,"erro")))))</f>
        <v>0.8</v>
      </c>
      <c r="AD480" s="17" t="b">
        <f>Template!$D480=Template!$M480</f>
        <v>0</v>
      </c>
      <c r="AE480" s="12" t="s">
        <v>58</v>
      </c>
    </row>
    <row r="481" ht="15.75" customHeight="1">
      <c r="A481" s="7" t="s">
        <v>190</v>
      </c>
      <c r="B481" s="7" t="s">
        <v>191</v>
      </c>
      <c r="C481" s="7" t="s">
        <v>255</v>
      </c>
      <c r="D481" s="13">
        <v>17853.0</v>
      </c>
      <c r="E481" s="7" t="s">
        <v>211</v>
      </c>
      <c r="F481" s="13"/>
      <c r="G481" s="22" t="s">
        <v>200</v>
      </c>
      <c r="H481" s="7" t="s">
        <v>256</v>
      </c>
      <c r="I481" s="7" t="s">
        <v>257</v>
      </c>
      <c r="J481" s="7" t="s">
        <v>70</v>
      </c>
      <c r="K481" s="15">
        <v>43710.0</v>
      </c>
      <c r="L481" s="15">
        <v>36255.0</v>
      </c>
      <c r="M481" s="13">
        <v>23256.0</v>
      </c>
      <c r="N481" s="7">
        <v>4500.0</v>
      </c>
      <c r="O481" s="7"/>
      <c r="P481" s="7">
        <v>13.33</v>
      </c>
      <c r="Q481" s="7"/>
      <c r="R481" s="20"/>
      <c r="S481" s="7"/>
      <c r="T481" s="20"/>
      <c r="U481" s="16">
        <f>SUM(Template!$N481:$O481)*Template!$P481+Template!$Q481</f>
        <v>59985</v>
      </c>
      <c r="V481" s="17" t="str">
        <f>IF(Template!$M481="CONSELHO","N",IF(Template!$AA481="N","N1",IF(Template!$AA481="N1","N2",IF(Template!$AA481="N2","N3",IF(Template!$AA481="N3","N4",IF(Template!$AA481="N4","N5",IF(Template!$AA481="N5","N6",IF(Template!$AA481="N6","N7",IF(Template!$AA481="N7","N8",IF(Template!$AA481="N8","N9",IF(Template!$AA481="N9","N10","NA")))))))))))</f>
        <v>N3</v>
      </c>
      <c r="W481" s="17">
        <f>COUNTIF(Template!$M$3:$M$619,Template!$D481)</f>
        <v>6</v>
      </c>
      <c r="X481" s="17" t="str">
        <f>IF(Template!$F481="","",SUMIF(Template!$M$3:$M$619,Template!$D481,Template!$AC$3:$AC$619))</f>
        <v/>
      </c>
      <c r="Y481" s="17" t="str">
        <f>IFERROR(VLOOKUP(Template!$M481,Template!$D$3:$G$619,MATCH("EmployeeJobTitle",Template!$D$2:$G$2,0),FALSE),"NA")</f>
        <v>GERENTE COMERCIAL</v>
      </c>
      <c r="Z481" s="17" t="str">
        <f>IFERROR(VLOOKUP(Template!$M481,Template!$D$3:$G$619,MATCH("EmployeeGroup",Template!$D$2:$G$2,0),FALSE),"NA")</f>
        <v>Coordenador</v>
      </c>
      <c r="AA481" s="17" t="str">
        <f>IFERROR(VLOOKUP(Template!$M481,Template!$D$3:$V$619,MATCH("Layer",Template!$D$2:$V$2,0),FALSE),"NA")</f>
        <v>N2</v>
      </c>
      <c r="AB481" s="21">
        <f>VLOOKUP(Template!$M481,Template!$D$3:$F$619,MATCH("InternalGrade",Template!$D$2:$F$2,0),FALSE)-Template!$F481</f>
        <v>19</v>
      </c>
      <c r="AC481" s="17">
        <f>IF(Template!$AB481&lt;=1, 0.8,IF(Template!$AB481=2,0.4,IF(Template!$AB481=3,0.2,IF(Template!$AB481=4,0.1,IF(Template!$AB481&gt;=5,0.05,"erro")))))</f>
        <v>0.05</v>
      </c>
      <c r="AD481" s="17" t="b">
        <f>Template!$D481=Template!$M481</f>
        <v>0</v>
      </c>
      <c r="AE481" s="12" t="s">
        <v>58</v>
      </c>
    </row>
    <row r="482" ht="15.75" customHeight="1">
      <c r="A482" s="7" t="s">
        <v>190</v>
      </c>
      <c r="B482" s="7" t="s">
        <v>191</v>
      </c>
      <c r="C482" s="7" t="s">
        <v>258</v>
      </c>
      <c r="D482" s="13">
        <v>25327.0</v>
      </c>
      <c r="E482" s="7" t="s">
        <v>198</v>
      </c>
      <c r="F482" s="13"/>
      <c r="G482" s="14" t="s">
        <v>63</v>
      </c>
      <c r="H482" s="7" t="s">
        <v>256</v>
      </c>
      <c r="I482" s="7" t="s">
        <v>257</v>
      </c>
      <c r="J482" s="7" t="s">
        <v>70</v>
      </c>
      <c r="K482" s="15">
        <v>45526.0</v>
      </c>
      <c r="L482" s="15">
        <v>28387.0</v>
      </c>
      <c r="M482" s="13">
        <v>19288.0</v>
      </c>
      <c r="N482" s="7">
        <v>1716.0</v>
      </c>
      <c r="O482" s="7"/>
      <c r="P482" s="7">
        <v>13.33</v>
      </c>
      <c r="Q482" s="7"/>
      <c r="R482" s="20"/>
      <c r="S482" s="7"/>
      <c r="T482" s="20"/>
      <c r="U482" s="16">
        <f>SUM(Template!$N482:$O482)*Template!$P482+Template!$Q482</f>
        <v>22874.28</v>
      </c>
      <c r="V482" s="17" t="str">
        <f>IF(Template!$M482="CONSELHO","N",IF(Template!$AA482="N","N1",IF(Template!$AA482="N1","N2",IF(Template!$AA482="N2","N3",IF(Template!$AA482="N3","N4",IF(Template!$AA482="N4","N5",IF(Template!$AA482="N5","N6",IF(Template!$AA482="N6","N7",IF(Template!$AA482="N7","N8",IF(Template!$AA482="N8","N9",IF(Template!$AA482="N9","N10","NA")))))))))))</f>
        <v>N4</v>
      </c>
      <c r="W482" s="17">
        <f>COUNTIF(Template!$M$3:$M$619,Template!$D482)</f>
        <v>0</v>
      </c>
      <c r="X482" s="17" t="str">
        <f>IF(Template!$F482="","",SUMIF(Template!$M$3:$M$619,Template!$D482,Template!$AC$3:$AC$619))</f>
        <v/>
      </c>
      <c r="Y482" s="17" t="str">
        <f>IFERROR(VLOOKUP(Template!$M482,Template!$D$3:$G$619,MATCH("EmployeeJobTitle",Template!$D$2:$G$2,0),FALSE),"NA")</f>
        <v>GERENTE DE LOJA</v>
      </c>
      <c r="Z482" s="17" t="str">
        <f>IFERROR(VLOOKUP(Template!$M482,Template!$D$3:$G$619,MATCH("EmployeeGroup",Template!$D$2:$G$2,0),FALSE),"NA")</f>
        <v>GERENTE</v>
      </c>
      <c r="AA482" s="17" t="str">
        <f>IFERROR(VLOOKUP(Template!$M482,Template!$D$3:$V$619,MATCH("Layer",Template!$D$2:$V$2,0),FALSE),"NA")</f>
        <v>N3</v>
      </c>
      <c r="AB482" s="21">
        <f>VLOOKUP(Template!$M482,Template!$D$3:$F$619,MATCH("InternalGrade",Template!$D$2:$F$2,0),FALSE)-Template!$F482</f>
        <v>0</v>
      </c>
      <c r="AC482" s="17">
        <f>IF(Template!$AB482&lt;=1, 0.8,IF(Template!$AB482=2,0.4,IF(Template!$AB482=3,0.2,IF(Template!$AB482=4,0.1,IF(Template!$AB482&gt;=5,0.05,"erro")))))</f>
        <v>0.8</v>
      </c>
      <c r="AD482" s="17" t="b">
        <f>Template!$D482=Template!$M482</f>
        <v>0</v>
      </c>
      <c r="AE482" s="12" t="s">
        <v>58</v>
      </c>
    </row>
    <row r="483" ht="15.75" customHeight="1">
      <c r="A483" s="7" t="s">
        <v>190</v>
      </c>
      <c r="B483" s="7" t="s">
        <v>191</v>
      </c>
      <c r="C483" s="7" t="s">
        <v>258</v>
      </c>
      <c r="D483" s="13">
        <v>21011.0</v>
      </c>
      <c r="E483" s="7" t="s">
        <v>193</v>
      </c>
      <c r="F483" s="13"/>
      <c r="G483" s="14" t="s">
        <v>63</v>
      </c>
      <c r="H483" s="7" t="s">
        <v>256</v>
      </c>
      <c r="I483" s="7" t="s">
        <v>257</v>
      </c>
      <c r="J483" s="7" t="s">
        <v>70</v>
      </c>
      <c r="K483" s="15">
        <v>44753.0</v>
      </c>
      <c r="L483" s="15">
        <v>32797.0</v>
      </c>
      <c r="M483" s="13">
        <v>19288.0</v>
      </c>
      <c r="N483" s="7"/>
      <c r="O483" s="7"/>
      <c r="P483" s="7">
        <v>13.33</v>
      </c>
      <c r="Q483" s="7"/>
      <c r="R483" s="20"/>
      <c r="S483" s="7"/>
      <c r="T483" s="20"/>
      <c r="U483" s="16">
        <f>SUM(Template!$N483:$O483)*Template!$P483+Template!$Q483</f>
        <v>0</v>
      </c>
      <c r="V483" s="17" t="str">
        <f>IF(Template!$M483="CONSELHO","N",IF(Template!$AA483="N","N1",IF(Template!$AA483="N1","N2",IF(Template!$AA483="N2","N3",IF(Template!$AA483="N3","N4",IF(Template!$AA483="N4","N5",IF(Template!$AA483="N5","N6",IF(Template!$AA483="N6","N7",IF(Template!$AA483="N7","N8",IF(Template!$AA483="N8","N9",IF(Template!$AA483="N9","N10","NA")))))))))))</f>
        <v>N4</v>
      </c>
      <c r="W483" s="17">
        <f>COUNTIF(Template!$M$3:$M$619,Template!$D483)</f>
        <v>0</v>
      </c>
      <c r="X483" s="17" t="str">
        <f>IF(Template!$F483="","",SUMIF(Template!$M$3:$M$619,Template!$D483,Template!$AC$3:$AC$619))</f>
        <v/>
      </c>
      <c r="Y483" s="17" t="str">
        <f>IFERROR(VLOOKUP(Template!$M483,Template!$D$3:$G$619,MATCH("EmployeeJobTitle",Template!$D$2:$G$2,0),FALSE),"NA")</f>
        <v>GERENTE DE LOJA</v>
      </c>
      <c r="Z483" s="17" t="str">
        <f>IFERROR(VLOOKUP(Template!$M483,Template!$D$3:$G$619,MATCH("EmployeeGroup",Template!$D$2:$G$2,0),FALSE),"NA")</f>
        <v>GERENTE</v>
      </c>
      <c r="AA483" s="17" t="str">
        <f>IFERROR(VLOOKUP(Template!$M483,Template!$D$3:$V$619,MATCH("Layer",Template!$D$2:$V$2,0),FALSE),"NA")</f>
        <v>N3</v>
      </c>
      <c r="AB483" s="21">
        <f>VLOOKUP(Template!$M483,Template!$D$3:$F$619,MATCH("InternalGrade",Template!$D$2:$F$2,0),FALSE)-Template!$F483</f>
        <v>0</v>
      </c>
      <c r="AC483" s="17">
        <f>IF(Template!$AB483&lt;=1, 0.8,IF(Template!$AB483=2,0.4,IF(Template!$AB483=3,0.2,IF(Template!$AB483=4,0.1,IF(Template!$AB483&gt;=5,0.05,"erro")))))</f>
        <v>0.8</v>
      </c>
      <c r="AD483" s="17" t="b">
        <f>Template!$D483=Template!$M483</f>
        <v>0</v>
      </c>
      <c r="AE483" s="12" t="s">
        <v>58</v>
      </c>
    </row>
    <row r="484" ht="15.75" customHeight="1">
      <c r="A484" s="7" t="s">
        <v>190</v>
      </c>
      <c r="B484" s="7" t="s">
        <v>191</v>
      </c>
      <c r="C484" s="7" t="s">
        <v>258</v>
      </c>
      <c r="D484" s="13">
        <v>25404.0</v>
      </c>
      <c r="E484" s="7" t="s">
        <v>196</v>
      </c>
      <c r="F484" s="13"/>
      <c r="G484" s="14" t="s">
        <v>63</v>
      </c>
      <c r="H484" s="7" t="s">
        <v>256</v>
      </c>
      <c r="I484" s="7" t="s">
        <v>257</v>
      </c>
      <c r="J484" s="7" t="s">
        <v>70</v>
      </c>
      <c r="K484" s="15">
        <v>45566.0</v>
      </c>
      <c r="L484" s="15">
        <v>31409.0</v>
      </c>
      <c r="M484" s="13">
        <v>19288.0</v>
      </c>
      <c r="N484" s="7">
        <v>1716.0</v>
      </c>
      <c r="O484" s="7"/>
      <c r="P484" s="7">
        <v>13.33</v>
      </c>
      <c r="Q484" s="7"/>
      <c r="R484" s="20"/>
      <c r="S484" s="7"/>
      <c r="T484" s="20"/>
      <c r="U484" s="16">
        <f>SUM(Template!$N484:$O484)*Template!$P484+Template!$Q484</f>
        <v>22874.28</v>
      </c>
      <c r="V484" s="17" t="str">
        <f>IF(Template!$M484="CONSELHO","N",IF(Template!$AA484="N","N1",IF(Template!$AA484="N1","N2",IF(Template!$AA484="N2","N3",IF(Template!$AA484="N3","N4",IF(Template!$AA484="N4","N5",IF(Template!$AA484="N5","N6",IF(Template!$AA484="N6","N7",IF(Template!$AA484="N7","N8",IF(Template!$AA484="N8","N9",IF(Template!$AA484="N9","N10","NA")))))))))))</f>
        <v>N4</v>
      </c>
      <c r="W484" s="17">
        <f>COUNTIF(Template!$M$3:$M$619,Template!$D484)</f>
        <v>0</v>
      </c>
      <c r="X484" s="17" t="str">
        <f>IF(Template!$F484="","",SUMIF(Template!$M$3:$M$619,Template!$D484,Template!$AC$3:$AC$619))</f>
        <v/>
      </c>
      <c r="Y484" s="17" t="str">
        <f>IFERROR(VLOOKUP(Template!$M484,Template!$D$3:$G$619,MATCH("EmployeeJobTitle",Template!$D$2:$G$2,0),FALSE),"NA")</f>
        <v>GERENTE DE LOJA</v>
      </c>
      <c r="Z484" s="17" t="str">
        <f>IFERROR(VLOOKUP(Template!$M484,Template!$D$3:$G$619,MATCH("EmployeeGroup",Template!$D$2:$G$2,0),FALSE),"NA")</f>
        <v>GERENTE</v>
      </c>
      <c r="AA484" s="17" t="str">
        <f>IFERROR(VLOOKUP(Template!$M484,Template!$D$3:$V$619,MATCH("Layer",Template!$D$2:$V$2,0),FALSE),"NA")</f>
        <v>N3</v>
      </c>
      <c r="AB484" s="21">
        <f>VLOOKUP(Template!$M484,Template!$D$3:$F$619,MATCH("InternalGrade",Template!$D$2:$F$2,0),FALSE)-Template!$F484</f>
        <v>0</v>
      </c>
      <c r="AC484" s="17">
        <f>IF(Template!$AB484&lt;=1, 0.8,IF(Template!$AB484=2,0.4,IF(Template!$AB484=3,0.2,IF(Template!$AB484=4,0.1,IF(Template!$AB484&gt;=5,0.05,"erro")))))</f>
        <v>0.8</v>
      </c>
      <c r="AD484" s="17" t="b">
        <f>Template!$D484=Template!$M484</f>
        <v>0</v>
      </c>
      <c r="AE484" s="12" t="s">
        <v>58</v>
      </c>
    </row>
    <row r="485" ht="15.75" customHeight="1">
      <c r="A485" s="7" t="s">
        <v>190</v>
      </c>
      <c r="B485" s="7" t="s">
        <v>191</v>
      </c>
      <c r="C485" s="7" t="s">
        <v>258</v>
      </c>
      <c r="D485" s="13">
        <v>19288.0</v>
      </c>
      <c r="E485" s="7" t="s">
        <v>199</v>
      </c>
      <c r="F485" s="13"/>
      <c r="G485" s="22" t="s">
        <v>200</v>
      </c>
      <c r="H485" s="7" t="s">
        <v>256</v>
      </c>
      <c r="I485" s="7" t="s">
        <v>257</v>
      </c>
      <c r="J485" s="7" t="s">
        <v>70</v>
      </c>
      <c r="K485" s="15">
        <v>44175.0</v>
      </c>
      <c r="L485" s="15">
        <v>30170.0</v>
      </c>
      <c r="M485" s="13">
        <v>23256.0</v>
      </c>
      <c r="N485" s="7">
        <v>5376.0</v>
      </c>
      <c r="O485" s="7"/>
      <c r="P485" s="7">
        <v>13.33</v>
      </c>
      <c r="Q485" s="7"/>
      <c r="R485" s="20"/>
      <c r="S485" s="7"/>
      <c r="T485" s="20"/>
      <c r="U485" s="16">
        <f>SUM(Template!$N485:$O485)*Template!$P485+Template!$Q485</f>
        <v>71662.08</v>
      </c>
      <c r="V485" s="17" t="str">
        <f>IF(Template!$M485="CONSELHO","N",IF(Template!$AA485="N","N1",IF(Template!$AA485="N1","N2",IF(Template!$AA485="N2","N3",IF(Template!$AA485="N3","N4",IF(Template!$AA485="N4","N5",IF(Template!$AA485="N5","N6",IF(Template!$AA485="N6","N7",IF(Template!$AA485="N7","N8",IF(Template!$AA485="N8","N9",IF(Template!$AA485="N9","N10","NA")))))))))))</f>
        <v>N3</v>
      </c>
      <c r="W485" s="17">
        <f>COUNTIF(Template!$M$3:$M$619,Template!$D485)</f>
        <v>12</v>
      </c>
      <c r="X485" s="17" t="str">
        <f>IF(Template!$F485="","",SUMIF(Template!$M$3:$M$619,Template!$D485,Template!$AC$3:$AC$619))</f>
        <v/>
      </c>
      <c r="Y485" s="17" t="str">
        <f>IFERROR(VLOOKUP(Template!$M485,Template!$D$3:$G$619,MATCH("EmployeeJobTitle",Template!$D$2:$G$2,0),FALSE),"NA")</f>
        <v>GERENTE COMERCIAL</v>
      </c>
      <c r="Z485" s="17" t="str">
        <f>IFERROR(VLOOKUP(Template!$M485,Template!$D$3:$G$619,MATCH("EmployeeGroup",Template!$D$2:$G$2,0),FALSE),"NA")</f>
        <v>Coordenador</v>
      </c>
      <c r="AA485" s="17" t="str">
        <f>IFERROR(VLOOKUP(Template!$M485,Template!$D$3:$V$619,MATCH("Layer",Template!$D$2:$V$2,0),FALSE),"NA")</f>
        <v>N2</v>
      </c>
      <c r="AB485" s="21">
        <f>VLOOKUP(Template!$M485,Template!$D$3:$F$619,MATCH("InternalGrade",Template!$D$2:$F$2,0),FALSE)-Template!$F485</f>
        <v>19</v>
      </c>
      <c r="AC485" s="17">
        <f>IF(Template!$AB485&lt;=1, 0.8,IF(Template!$AB485=2,0.4,IF(Template!$AB485=3,0.2,IF(Template!$AB485=4,0.1,IF(Template!$AB485&gt;=5,0.05,"erro")))))</f>
        <v>0.05</v>
      </c>
      <c r="AD485" s="17" t="b">
        <f>Template!$D485=Template!$M485</f>
        <v>0</v>
      </c>
      <c r="AE485" s="12" t="s">
        <v>58</v>
      </c>
    </row>
    <row r="486" ht="15.75" customHeight="1">
      <c r="A486" s="7" t="s">
        <v>190</v>
      </c>
      <c r="B486" s="7" t="s">
        <v>191</v>
      </c>
      <c r="C486" s="7" t="s">
        <v>258</v>
      </c>
      <c r="D486" s="13">
        <v>17895.0</v>
      </c>
      <c r="E486" s="7" t="s">
        <v>193</v>
      </c>
      <c r="F486" s="13"/>
      <c r="G486" s="14" t="s">
        <v>63</v>
      </c>
      <c r="H486" s="7" t="s">
        <v>256</v>
      </c>
      <c r="I486" s="7" t="s">
        <v>257</v>
      </c>
      <c r="J486" s="7" t="s">
        <v>70</v>
      </c>
      <c r="K486" s="15">
        <v>43728.0</v>
      </c>
      <c r="L486" s="15">
        <v>34492.0</v>
      </c>
      <c r="M486" s="13">
        <v>19288.0</v>
      </c>
      <c r="N486" s="7"/>
      <c r="O486" s="7"/>
      <c r="P486" s="7">
        <v>13.33</v>
      </c>
      <c r="Q486" s="7"/>
      <c r="R486" s="20"/>
      <c r="S486" s="7"/>
      <c r="T486" s="20"/>
      <c r="U486" s="16">
        <f>SUM(Template!$N486:$O486)*Template!$P486+Template!$Q486</f>
        <v>0</v>
      </c>
      <c r="V486" s="17" t="str">
        <f>IF(Template!$M486="CONSELHO","N",IF(Template!$AA486="N","N1",IF(Template!$AA486="N1","N2",IF(Template!$AA486="N2","N3",IF(Template!$AA486="N3","N4",IF(Template!$AA486="N4","N5",IF(Template!$AA486="N5","N6",IF(Template!$AA486="N6","N7",IF(Template!$AA486="N7","N8",IF(Template!$AA486="N8","N9",IF(Template!$AA486="N9","N10","NA")))))))))))</f>
        <v>N4</v>
      </c>
      <c r="W486" s="17">
        <f>COUNTIF(Template!$M$3:$M$619,Template!$D486)</f>
        <v>0</v>
      </c>
      <c r="X486" s="17" t="str">
        <f>IF(Template!$F486="","",SUMIF(Template!$M$3:$M$619,Template!$D486,Template!$AC$3:$AC$619))</f>
        <v/>
      </c>
      <c r="Y486" s="17" t="str">
        <f>IFERROR(VLOOKUP(Template!$M486,Template!$D$3:$G$619,MATCH("EmployeeJobTitle",Template!$D$2:$G$2,0),FALSE),"NA")</f>
        <v>GERENTE DE LOJA</v>
      </c>
      <c r="Z486" s="17" t="str">
        <f>IFERROR(VLOOKUP(Template!$M486,Template!$D$3:$G$619,MATCH("EmployeeGroup",Template!$D$2:$G$2,0),FALSE),"NA")</f>
        <v>GERENTE</v>
      </c>
      <c r="AA486" s="17" t="str">
        <f>IFERROR(VLOOKUP(Template!$M486,Template!$D$3:$V$619,MATCH("Layer",Template!$D$2:$V$2,0),FALSE),"NA")</f>
        <v>N3</v>
      </c>
      <c r="AB486" s="21">
        <f>VLOOKUP(Template!$M486,Template!$D$3:$F$619,MATCH("InternalGrade",Template!$D$2:$F$2,0),FALSE)-Template!$F486</f>
        <v>0</v>
      </c>
      <c r="AC486" s="17">
        <f>IF(Template!$AB486&lt;=1, 0.8,IF(Template!$AB486=2,0.4,IF(Template!$AB486=3,0.2,IF(Template!$AB486=4,0.1,IF(Template!$AB486&gt;=5,0.05,"erro")))))</f>
        <v>0.8</v>
      </c>
      <c r="AD486" s="17" t="b">
        <f>Template!$D486=Template!$M486</f>
        <v>0</v>
      </c>
      <c r="AE486" s="12" t="s">
        <v>58</v>
      </c>
    </row>
    <row r="487" ht="15.75" customHeight="1">
      <c r="A487" s="7" t="s">
        <v>190</v>
      </c>
      <c r="B487" s="7" t="s">
        <v>191</v>
      </c>
      <c r="C487" s="7" t="s">
        <v>258</v>
      </c>
      <c r="D487" s="13">
        <v>24070.0</v>
      </c>
      <c r="E487" s="7" t="s">
        <v>193</v>
      </c>
      <c r="F487" s="13"/>
      <c r="G487" s="14" t="s">
        <v>63</v>
      </c>
      <c r="H487" s="7" t="s">
        <v>256</v>
      </c>
      <c r="I487" s="7" t="s">
        <v>257</v>
      </c>
      <c r="J487" s="7" t="s">
        <v>70</v>
      </c>
      <c r="K487" s="15">
        <v>45082.0</v>
      </c>
      <c r="L487" s="15">
        <v>36244.0</v>
      </c>
      <c r="M487" s="13">
        <v>19288.0</v>
      </c>
      <c r="N487" s="7"/>
      <c r="O487" s="7"/>
      <c r="P487" s="7">
        <v>13.33</v>
      </c>
      <c r="Q487" s="7"/>
      <c r="R487" s="20"/>
      <c r="S487" s="7"/>
      <c r="T487" s="20"/>
      <c r="U487" s="16">
        <f>SUM(Template!$N487:$O487)*Template!$P487+Template!$Q487</f>
        <v>0</v>
      </c>
      <c r="V487" s="17" t="str">
        <f>IF(Template!$M487="CONSELHO","N",IF(Template!$AA487="N","N1",IF(Template!$AA487="N1","N2",IF(Template!$AA487="N2","N3",IF(Template!$AA487="N3","N4",IF(Template!$AA487="N4","N5",IF(Template!$AA487="N5","N6",IF(Template!$AA487="N6","N7",IF(Template!$AA487="N7","N8",IF(Template!$AA487="N8","N9",IF(Template!$AA487="N9","N10","NA")))))))))))</f>
        <v>N4</v>
      </c>
      <c r="W487" s="17">
        <f>COUNTIF(Template!$M$3:$M$619,Template!$D487)</f>
        <v>0</v>
      </c>
      <c r="X487" s="17" t="str">
        <f>IF(Template!$F487="","",SUMIF(Template!$M$3:$M$619,Template!$D487,Template!$AC$3:$AC$619))</f>
        <v/>
      </c>
      <c r="Y487" s="17" t="str">
        <f>IFERROR(VLOOKUP(Template!$M487,Template!$D$3:$G$619,MATCH("EmployeeJobTitle",Template!$D$2:$G$2,0),FALSE),"NA")</f>
        <v>GERENTE DE LOJA</v>
      </c>
      <c r="Z487" s="17" t="str">
        <f>IFERROR(VLOOKUP(Template!$M487,Template!$D$3:$G$619,MATCH("EmployeeGroup",Template!$D$2:$G$2,0),FALSE),"NA")</f>
        <v>GERENTE</v>
      </c>
      <c r="AA487" s="17" t="str">
        <f>IFERROR(VLOOKUP(Template!$M487,Template!$D$3:$V$619,MATCH("Layer",Template!$D$2:$V$2,0),FALSE),"NA")</f>
        <v>N3</v>
      </c>
      <c r="AB487" s="21">
        <f>VLOOKUP(Template!$M487,Template!$D$3:$F$619,MATCH("InternalGrade",Template!$D$2:$F$2,0),FALSE)-Template!$F487</f>
        <v>0</v>
      </c>
      <c r="AC487" s="17">
        <f>IF(Template!$AB487&lt;=1, 0.8,IF(Template!$AB487=2,0.4,IF(Template!$AB487=3,0.2,IF(Template!$AB487=4,0.1,IF(Template!$AB487&gt;=5,0.05,"erro")))))</f>
        <v>0.8</v>
      </c>
      <c r="AD487" s="17" t="b">
        <f>Template!$D487=Template!$M487</f>
        <v>0</v>
      </c>
      <c r="AE487" s="12" t="s">
        <v>58</v>
      </c>
    </row>
    <row r="488" ht="15.75" customHeight="1">
      <c r="A488" s="7" t="s">
        <v>190</v>
      </c>
      <c r="B488" s="7" t="s">
        <v>191</v>
      </c>
      <c r="C488" s="7" t="s">
        <v>258</v>
      </c>
      <c r="D488" s="13">
        <v>19689.0</v>
      </c>
      <c r="E488" s="7" t="s">
        <v>204</v>
      </c>
      <c r="F488" s="13"/>
      <c r="G488" s="14" t="s">
        <v>63</v>
      </c>
      <c r="H488" s="7" t="s">
        <v>256</v>
      </c>
      <c r="I488" s="7" t="s">
        <v>257</v>
      </c>
      <c r="J488" s="7" t="s">
        <v>70</v>
      </c>
      <c r="K488" s="15">
        <v>44393.0</v>
      </c>
      <c r="L488" s="15">
        <v>29552.0</v>
      </c>
      <c r="M488" s="13">
        <v>19288.0</v>
      </c>
      <c r="N488" s="7"/>
      <c r="O488" s="7"/>
      <c r="P488" s="7">
        <v>13.33</v>
      </c>
      <c r="Q488" s="7"/>
      <c r="R488" s="20"/>
      <c r="S488" s="7"/>
      <c r="T488" s="20"/>
      <c r="U488" s="16">
        <f>SUM(Template!$N488:$O488)*Template!$P488+Template!$Q488</f>
        <v>0</v>
      </c>
      <c r="V488" s="17" t="str">
        <f>IF(Template!$M488="CONSELHO","N",IF(Template!$AA488="N","N1",IF(Template!$AA488="N1","N2",IF(Template!$AA488="N2","N3",IF(Template!$AA488="N3","N4",IF(Template!$AA488="N4","N5",IF(Template!$AA488="N5","N6",IF(Template!$AA488="N6","N7",IF(Template!$AA488="N7","N8",IF(Template!$AA488="N8","N9",IF(Template!$AA488="N9","N10","NA")))))))))))</f>
        <v>N4</v>
      </c>
      <c r="W488" s="17">
        <f>COUNTIF(Template!$M$3:$M$619,Template!$D488)</f>
        <v>0</v>
      </c>
      <c r="X488" s="17" t="str">
        <f>IF(Template!$F488="","",SUMIF(Template!$M$3:$M$619,Template!$D488,Template!$AC$3:$AC$619))</f>
        <v/>
      </c>
      <c r="Y488" s="17" t="str">
        <f>IFERROR(VLOOKUP(Template!$M488,Template!$D$3:$G$619,MATCH("EmployeeJobTitle",Template!$D$2:$G$2,0),FALSE),"NA")</f>
        <v>GERENTE DE LOJA</v>
      </c>
      <c r="Z488" s="17" t="str">
        <f>IFERROR(VLOOKUP(Template!$M488,Template!$D$3:$G$619,MATCH("EmployeeGroup",Template!$D$2:$G$2,0),FALSE),"NA")</f>
        <v>GERENTE</v>
      </c>
      <c r="AA488" s="17" t="str">
        <f>IFERROR(VLOOKUP(Template!$M488,Template!$D$3:$V$619,MATCH("Layer",Template!$D$2:$V$2,0),FALSE),"NA")</f>
        <v>N3</v>
      </c>
      <c r="AB488" s="21">
        <f>VLOOKUP(Template!$M488,Template!$D$3:$F$619,MATCH("InternalGrade",Template!$D$2:$F$2,0),FALSE)-Template!$F488</f>
        <v>0</v>
      </c>
      <c r="AC488" s="17">
        <f>IF(Template!$AB488&lt;=1, 0.8,IF(Template!$AB488=2,0.4,IF(Template!$AB488=3,0.2,IF(Template!$AB488=4,0.1,IF(Template!$AB488&gt;=5,0.05,"erro")))))</f>
        <v>0.8</v>
      </c>
      <c r="AD488" s="17" t="b">
        <f>Template!$D488=Template!$M488</f>
        <v>0</v>
      </c>
      <c r="AE488" s="12" t="s">
        <v>58</v>
      </c>
    </row>
    <row r="489" ht="15.75" customHeight="1">
      <c r="A489" s="7" t="s">
        <v>190</v>
      </c>
      <c r="B489" s="7" t="s">
        <v>191</v>
      </c>
      <c r="C489" s="7" t="s">
        <v>258</v>
      </c>
      <c r="D489" s="13">
        <v>20264.0</v>
      </c>
      <c r="E489" s="7" t="s">
        <v>193</v>
      </c>
      <c r="F489" s="13"/>
      <c r="G489" s="14" t="s">
        <v>63</v>
      </c>
      <c r="H489" s="7" t="s">
        <v>256</v>
      </c>
      <c r="I489" s="7" t="s">
        <v>257</v>
      </c>
      <c r="J489" s="7" t="s">
        <v>70</v>
      </c>
      <c r="K489" s="15">
        <v>44531.0</v>
      </c>
      <c r="L489" s="15">
        <v>36429.0</v>
      </c>
      <c r="M489" s="13">
        <v>19288.0</v>
      </c>
      <c r="N489" s="7"/>
      <c r="O489" s="7"/>
      <c r="P489" s="7">
        <v>13.33</v>
      </c>
      <c r="Q489" s="7"/>
      <c r="R489" s="20"/>
      <c r="S489" s="7"/>
      <c r="T489" s="20"/>
      <c r="U489" s="16">
        <f>SUM(Template!$N489:$O489)*Template!$P489+Template!$Q489</f>
        <v>0</v>
      </c>
      <c r="V489" s="17" t="str">
        <f>IF(Template!$M489="CONSELHO","N",IF(Template!$AA489="N","N1",IF(Template!$AA489="N1","N2",IF(Template!$AA489="N2","N3",IF(Template!$AA489="N3","N4",IF(Template!$AA489="N4","N5",IF(Template!$AA489="N5","N6",IF(Template!$AA489="N6","N7",IF(Template!$AA489="N7","N8",IF(Template!$AA489="N8","N9",IF(Template!$AA489="N9","N10","NA")))))))))))</f>
        <v>N4</v>
      </c>
      <c r="W489" s="17">
        <f>COUNTIF(Template!$M$3:$M$619,Template!$D489)</f>
        <v>0</v>
      </c>
      <c r="X489" s="17" t="str">
        <f>IF(Template!$F489="","",SUMIF(Template!$M$3:$M$619,Template!$D489,Template!$AC$3:$AC$619))</f>
        <v/>
      </c>
      <c r="Y489" s="17" t="str">
        <f>IFERROR(VLOOKUP(Template!$M489,Template!$D$3:$G$619,MATCH("EmployeeJobTitle",Template!$D$2:$G$2,0),FALSE),"NA")</f>
        <v>GERENTE DE LOJA</v>
      </c>
      <c r="Z489" s="17" t="str">
        <f>IFERROR(VLOOKUP(Template!$M489,Template!$D$3:$G$619,MATCH("EmployeeGroup",Template!$D$2:$G$2,0),FALSE),"NA")</f>
        <v>GERENTE</v>
      </c>
      <c r="AA489" s="17" t="str">
        <f>IFERROR(VLOOKUP(Template!$M489,Template!$D$3:$V$619,MATCH("Layer",Template!$D$2:$V$2,0),FALSE),"NA")</f>
        <v>N3</v>
      </c>
      <c r="AB489" s="21">
        <f>VLOOKUP(Template!$M489,Template!$D$3:$F$619,MATCH("InternalGrade",Template!$D$2:$F$2,0),FALSE)-Template!$F489</f>
        <v>0</v>
      </c>
      <c r="AC489" s="17">
        <f>IF(Template!$AB489&lt;=1, 0.8,IF(Template!$AB489=2,0.4,IF(Template!$AB489=3,0.2,IF(Template!$AB489=4,0.1,IF(Template!$AB489&gt;=5,0.05,"erro")))))</f>
        <v>0.8</v>
      </c>
      <c r="AD489" s="17" t="b">
        <f>Template!$D489=Template!$M489</f>
        <v>0</v>
      </c>
      <c r="AE489" s="12" t="s">
        <v>58</v>
      </c>
    </row>
    <row r="490" ht="15.75" customHeight="1">
      <c r="A490" s="7" t="s">
        <v>190</v>
      </c>
      <c r="B490" s="7" t="s">
        <v>191</v>
      </c>
      <c r="C490" s="7" t="s">
        <v>258</v>
      </c>
      <c r="D490" s="13">
        <v>19888.0</v>
      </c>
      <c r="E490" s="7" t="s">
        <v>193</v>
      </c>
      <c r="F490" s="13"/>
      <c r="G490" s="14" t="s">
        <v>63</v>
      </c>
      <c r="H490" s="7" t="s">
        <v>256</v>
      </c>
      <c r="I490" s="7" t="s">
        <v>257</v>
      </c>
      <c r="J490" s="7" t="s">
        <v>70</v>
      </c>
      <c r="K490" s="15">
        <v>44503.0</v>
      </c>
      <c r="L490" s="15">
        <v>30904.0</v>
      </c>
      <c r="M490" s="13">
        <v>19288.0</v>
      </c>
      <c r="N490" s="7"/>
      <c r="O490" s="7"/>
      <c r="P490" s="7">
        <v>13.33</v>
      </c>
      <c r="Q490" s="7"/>
      <c r="R490" s="20"/>
      <c r="S490" s="7"/>
      <c r="T490" s="20"/>
      <c r="U490" s="16">
        <f>SUM(Template!$N490:$O490)*Template!$P490+Template!$Q490</f>
        <v>0</v>
      </c>
      <c r="V490" s="17" t="str">
        <f>IF(Template!$M490="CONSELHO","N",IF(Template!$AA490="N","N1",IF(Template!$AA490="N1","N2",IF(Template!$AA490="N2","N3",IF(Template!$AA490="N3","N4",IF(Template!$AA490="N4","N5",IF(Template!$AA490="N5","N6",IF(Template!$AA490="N6","N7",IF(Template!$AA490="N7","N8",IF(Template!$AA490="N8","N9",IF(Template!$AA490="N9","N10","NA")))))))))))</f>
        <v>N4</v>
      </c>
      <c r="W490" s="17">
        <f>COUNTIF(Template!$M$3:$M$619,Template!$D490)</f>
        <v>0</v>
      </c>
      <c r="X490" s="17" t="str">
        <f>IF(Template!$F490="","",SUMIF(Template!$M$3:$M$619,Template!$D490,Template!$AC$3:$AC$619))</f>
        <v/>
      </c>
      <c r="Y490" s="17" t="str">
        <f>IFERROR(VLOOKUP(Template!$M490,Template!$D$3:$G$619,MATCH("EmployeeJobTitle",Template!$D$2:$G$2,0),FALSE),"NA")</f>
        <v>GERENTE DE LOJA</v>
      </c>
      <c r="Z490" s="17" t="str">
        <f>IFERROR(VLOOKUP(Template!$M490,Template!$D$3:$G$619,MATCH("EmployeeGroup",Template!$D$2:$G$2,0),FALSE),"NA")</f>
        <v>GERENTE</v>
      </c>
      <c r="AA490" s="17" t="str">
        <f>IFERROR(VLOOKUP(Template!$M490,Template!$D$3:$V$619,MATCH("Layer",Template!$D$2:$V$2,0),FALSE),"NA")</f>
        <v>N3</v>
      </c>
      <c r="AB490" s="21">
        <f>VLOOKUP(Template!$M490,Template!$D$3:$F$619,MATCH("InternalGrade",Template!$D$2:$F$2,0),FALSE)-Template!$F490</f>
        <v>0</v>
      </c>
      <c r="AC490" s="17">
        <f>IF(Template!$AB490&lt;=1, 0.8,IF(Template!$AB490=2,0.4,IF(Template!$AB490=3,0.2,IF(Template!$AB490=4,0.1,IF(Template!$AB490&gt;=5,0.05,"erro")))))</f>
        <v>0.8</v>
      </c>
      <c r="AD490" s="17" t="b">
        <f>Template!$D490=Template!$M490</f>
        <v>0</v>
      </c>
      <c r="AE490" s="12" t="s">
        <v>58</v>
      </c>
    </row>
    <row r="491" ht="15.75" customHeight="1">
      <c r="A491" s="7" t="s">
        <v>190</v>
      </c>
      <c r="B491" s="7" t="s">
        <v>191</v>
      </c>
      <c r="C491" s="7" t="s">
        <v>258</v>
      </c>
      <c r="D491" s="13">
        <v>19539.0</v>
      </c>
      <c r="E491" s="7" t="s">
        <v>193</v>
      </c>
      <c r="F491" s="13"/>
      <c r="G491" s="14" t="s">
        <v>63</v>
      </c>
      <c r="H491" s="7" t="s">
        <v>256</v>
      </c>
      <c r="I491" s="7" t="s">
        <v>257</v>
      </c>
      <c r="J491" s="7" t="s">
        <v>70</v>
      </c>
      <c r="K491" s="15">
        <v>44326.0</v>
      </c>
      <c r="L491" s="15">
        <v>28192.0</v>
      </c>
      <c r="M491" s="13">
        <v>19288.0</v>
      </c>
      <c r="N491" s="7"/>
      <c r="O491" s="7"/>
      <c r="P491" s="7">
        <v>13.33</v>
      </c>
      <c r="Q491" s="7"/>
      <c r="R491" s="20"/>
      <c r="S491" s="7"/>
      <c r="T491" s="20"/>
      <c r="U491" s="16">
        <f>SUM(Template!$N491:$O491)*Template!$P491+Template!$Q491</f>
        <v>0</v>
      </c>
      <c r="V491" s="17" t="str">
        <f>IF(Template!$M491="CONSELHO","N",IF(Template!$AA491="N","N1",IF(Template!$AA491="N1","N2",IF(Template!$AA491="N2","N3",IF(Template!$AA491="N3","N4",IF(Template!$AA491="N4","N5",IF(Template!$AA491="N5","N6",IF(Template!$AA491="N6","N7",IF(Template!$AA491="N7","N8",IF(Template!$AA491="N8","N9",IF(Template!$AA491="N9","N10","NA")))))))))))</f>
        <v>N4</v>
      </c>
      <c r="W491" s="17">
        <f>COUNTIF(Template!$M$3:$M$619,Template!$D491)</f>
        <v>0</v>
      </c>
      <c r="X491" s="17" t="str">
        <f>IF(Template!$F491="","",SUMIF(Template!$M$3:$M$619,Template!$D491,Template!$AC$3:$AC$619))</f>
        <v/>
      </c>
      <c r="Y491" s="17" t="str">
        <f>IFERROR(VLOOKUP(Template!$M491,Template!$D$3:$G$619,MATCH("EmployeeJobTitle",Template!$D$2:$G$2,0),FALSE),"NA")</f>
        <v>GERENTE DE LOJA</v>
      </c>
      <c r="Z491" s="17" t="str">
        <f>IFERROR(VLOOKUP(Template!$M491,Template!$D$3:$G$619,MATCH("EmployeeGroup",Template!$D$2:$G$2,0),FALSE),"NA")</f>
        <v>GERENTE</v>
      </c>
      <c r="AA491" s="17" t="str">
        <f>IFERROR(VLOOKUP(Template!$M491,Template!$D$3:$V$619,MATCH("Layer",Template!$D$2:$V$2,0),FALSE),"NA")</f>
        <v>N3</v>
      </c>
      <c r="AB491" s="21">
        <f>VLOOKUP(Template!$M491,Template!$D$3:$F$619,MATCH("InternalGrade",Template!$D$2:$F$2,0),FALSE)-Template!$F491</f>
        <v>0</v>
      </c>
      <c r="AC491" s="17">
        <f>IF(Template!$AB491&lt;=1, 0.8,IF(Template!$AB491=2,0.4,IF(Template!$AB491=3,0.2,IF(Template!$AB491=4,0.1,IF(Template!$AB491&gt;=5,0.05,"erro")))))</f>
        <v>0.8</v>
      </c>
      <c r="AD491" s="17" t="b">
        <f>Template!$D491=Template!$M491</f>
        <v>0</v>
      </c>
      <c r="AE491" s="12" t="s">
        <v>58</v>
      </c>
    </row>
    <row r="492" ht="15.75" customHeight="1">
      <c r="A492" s="7" t="s">
        <v>190</v>
      </c>
      <c r="B492" s="7" t="s">
        <v>191</v>
      </c>
      <c r="C492" s="7" t="s">
        <v>258</v>
      </c>
      <c r="D492" s="13">
        <v>23761.0</v>
      </c>
      <c r="E492" s="7" t="s">
        <v>193</v>
      </c>
      <c r="F492" s="13"/>
      <c r="G492" s="14" t="s">
        <v>63</v>
      </c>
      <c r="H492" s="7" t="s">
        <v>256</v>
      </c>
      <c r="I492" s="7" t="s">
        <v>257</v>
      </c>
      <c r="J492" s="7" t="s">
        <v>70</v>
      </c>
      <c r="K492" s="15">
        <v>44958.0</v>
      </c>
      <c r="L492" s="15">
        <v>34129.0</v>
      </c>
      <c r="M492" s="13">
        <v>19288.0</v>
      </c>
      <c r="N492" s="7"/>
      <c r="O492" s="7"/>
      <c r="P492" s="7">
        <v>13.33</v>
      </c>
      <c r="Q492" s="7"/>
      <c r="R492" s="20"/>
      <c r="S492" s="7"/>
      <c r="T492" s="20"/>
      <c r="U492" s="16">
        <f>SUM(Template!$N492:$O492)*Template!$P492+Template!$Q492</f>
        <v>0</v>
      </c>
      <c r="V492" s="17" t="str">
        <f>IF(Template!$M492="CONSELHO","N",IF(Template!$AA492="N","N1",IF(Template!$AA492="N1","N2",IF(Template!$AA492="N2","N3",IF(Template!$AA492="N3","N4",IF(Template!$AA492="N4","N5",IF(Template!$AA492="N5","N6",IF(Template!$AA492="N6","N7",IF(Template!$AA492="N7","N8",IF(Template!$AA492="N8","N9",IF(Template!$AA492="N9","N10","NA")))))))))))</f>
        <v>N4</v>
      </c>
      <c r="W492" s="17">
        <f>COUNTIF(Template!$M$3:$M$619,Template!$D492)</f>
        <v>0</v>
      </c>
      <c r="X492" s="17" t="str">
        <f>IF(Template!$F492="","",SUMIF(Template!$M$3:$M$619,Template!$D492,Template!$AC$3:$AC$619))</f>
        <v/>
      </c>
      <c r="Y492" s="17" t="str">
        <f>IFERROR(VLOOKUP(Template!$M492,Template!$D$3:$G$619,MATCH("EmployeeJobTitle",Template!$D$2:$G$2,0),FALSE),"NA")</f>
        <v>GERENTE DE LOJA</v>
      </c>
      <c r="Z492" s="17" t="str">
        <f>IFERROR(VLOOKUP(Template!$M492,Template!$D$3:$G$619,MATCH("EmployeeGroup",Template!$D$2:$G$2,0),FALSE),"NA")</f>
        <v>GERENTE</v>
      </c>
      <c r="AA492" s="17" t="str">
        <f>IFERROR(VLOOKUP(Template!$M492,Template!$D$3:$V$619,MATCH("Layer",Template!$D$2:$V$2,0),FALSE),"NA")</f>
        <v>N3</v>
      </c>
      <c r="AB492" s="21">
        <f>VLOOKUP(Template!$M492,Template!$D$3:$F$619,MATCH("InternalGrade",Template!$D$2:$F$2,0),FALSE)-Template!$F492</f>
        <v>0</v>
      </c>
      <c r="AC492" s="17">
        <f>IF(Template!$AB492&lt;=1, 0.8,IF(Template!$AB492=2,0.4,IF(Template!$AB492=3,0.2,IF(Template!$AB492=4,0.1,IF(Template!$AB492&gt;=5,0.05,"erro")))))</f>
        <v>0.8</v>
      </c>
      <c r="AD492" s="17" t="b">
        <f>Template!$D492=Template!$M492</f>
        <v>0</v>
      </c>
      <c r="AE492" s="12" t="s">
        <v>58</v>
      </c>
    </row>
    <row r="493" ht="15.75" customHeight="1">
      <c r="A493" s="7" t="s">
        <v>190</v>
      </c>
      <c r="B493" s="7" t="s">
        <v>191</v>
      </c>
      <c r="C493" s="7" t="s">
        <v>258</v>
      </c>
      <c r="D493" s="13">
        <v>23887.0</v>
      </c>
      <c r="E493" s="7" t="s">
        <v>193</v>
      </c>
      <c r="F493" s="13"/>
      <c r="G493" s="14" t="s">
        <v>63</v>
      </c>
      <c r="H493" s="7" t="s">
        <v>256</v>
      </c>
      <c r="I493" s="7" t="s">
        <v>257</v>
      </c>
      <c r="J493" s="7" t="s">
        <v>70</v>
      </c>
      <c r="K493" s="15">
        <v>44991.0</v>
      </c>
      <c r="L493" s="15">
        <v>35159.0</v>
      </c>
      <c r="M493" s="13">
        <v>19288.0</v>
      </c>
      <c r="N493" s="7"/>
      <c r="O493" s="7"/>
      <c r="P493" s="7">
        <v>13.33</v>
      </c>
      <c r="Q493" s="7"/>
      <c r="R493" s="20"/>
      <c r="S493" s="7"/>
      <c r="T493" s="20"/>
      <c r="U493" s="16">
        <f>SUM(Template!$N493:$O493)*Template!$P493+Template!$Q493</f>
        <v>0</v>
      </c>
      <c r="V493" s="17" t="str">
        <f>IF(Template!$M493="CONSELHO","N",IF(Template!$AA493="N","N1",IF(Template!$AA493="N1","N2",IF(Template!$AA493="N2","N3",IF(Template!$AA493="N3","N4",IF(Template!$AA493="N4","N5",IF(Template!$AA493="N5","N6",IF(Template!$AA493="N6","N7",IF(Template!$AA493="N7","N8",IF(Template!$AA493="N8","N9",IF(Template!$AA493="N9","N10","NA")))))))))))</f>
        <v>N4</v>
      </c>
      <c r="W493" s="17">
        <f>COUNTIF(Template!$M$3:$M$619,Template!$D493)</f>
        <v>0</v>
      </c>
      <c r="X493" s="17" t="str">
        <f>IF(Template!$F493="","",SUMIF(Template!$M$3:$M$619,Template!$D493,Template!$AC$3:$AC$619))</f>
        <v/>
      </c>
      <c r="Y493" s="17" t="str">
        <f>IFERROR(VLOOKUP(Template!$M493,Template!$D$3:$G$619,MATCH("EmployeeJobTitle",Template!$D$2:$G$2,0),FALSE),"NA")</f>
        <v>GERENTE DE LOJA</v>
      </c>
      <c r="Z493" s="17" t="str">
        <f>IFERROR(VLOOKUP(Template!$M493,Template!$D$3:$G$619,MATCH("EmployeeGroup",Template!$D$2:$G$2,0),FALSE),"NA")</f>
        <v>GERENTE</v>
      </c>
      <c r="AA493" s="17" t="str">
        <f>IFERROR(VLOOKUP(Template!$M493,Template!$D$3:$V$619,MATCH("Layer",Template!$D$2:$V$2,0),FALSE),"NA")</f>
        <v>N3</v>
      </c>
      <c r="AB493" s="21">
        <f>VLOOKUP(Template!$M493,Template!$D$3:$F$619,MATCH("InternalGrade",Template!$D$2:$F$2,0),FALSE)-Template!$F493</f>
        <v>0</v>
      </c>
      <c r="AC493" s="17">
        <f>IF(Template!$AB493&lt;=1, 0.8,IF(Template!$AB493=2,0.4,IF(Template!$AB493=3,0.2,IF(Template!$AB493=4,0.1,IF(Template!$AB493&gt;=5,0.05,"erro")))))</f>
        <v>0.8</v>
      </c>
      <c r="AD493" s="17" t="b">
        <f>Template!$D493=Template!$M493</f>
        <v>0</v>
      </c>
      <c r="AE493" s="12" t="s">
        <v>58</v>
      </c>
    </row>
    <row r="494" ht="15.75" customHeight="1">
      <c r="A494" s="7" t="s">
        <v>190</v>
      </c>
      <c r="B494" s="7" t="s">
        <v>191</v>
      </c>
      <c r="C494" s="7" t="s">
        <v>258</v>
      </c>
      <c r="D494" s="13">
        <v>20263.0</v>
      </c>
      <c r="E494" s="7" t="s">
        <v>198</v>
      </c>
      <c r="F494" s="13"/>
      <c r="G494" s="14" t="s">
        <v>63</v>
      </c>
      <c r="H494" s="7" t="s">
        <v>256</v>
      </c>
      <c r="I494" s="7" t="s">
        <v>257</v>
      </c>
      <c r="J494" s="7" t="s">
        <v>70</v>
      </c>
      <c r="K494" s="15">
        <v>44531.0</v>
      </c>
      <c r="L494" s="15">
        <v>37614.0</v>
      </c>
      <c r="M494" s="13">
        <v>19288.0</v>
      </c>
      <c r="N494" s="7">
        <v>1455.0</v>
      </c>
      <c r="O494" s="7"/>
      <c r="P494" s="7">
        <v>13.33</v>
      </c>
      <c r="Q494" s="7"/>
      <c r="R494" s="20"/>
      <c r="S494" s="7"/>
      <c r="T494" s="20"/>
      <c r="U494" s="16">
        <f>SUM(Template!$N494:$O494)*Template!$P494+Template!$Q494</f>
        <v>19395.15</v>
      </c>
      <c r="V494" s="17" t="str">
        <f>IF(Template!$M494="CONSELHO","N",IF(Template!$AA494="N","N1",IF(Template!$AA494="N1","N2",IF(Template!$AA494="N2","N3",IF(Template!$AA494="N3","N4",IF(Template!$AA494="N4","N5",IF(Template!$AA494="N5","N6",IF(Template!$AA494="N6","N7",IF(Template!$AA494="N7","N8",IF(Template!$AA494="N8","N9",IF(Template!$AA494="N9","N10","NA")))))))))))</f>
        <v>N4</v>
      </c>
      <c r="W494" s="17">
        <f>COUNTIF(Template!$M$3:$M$619,Template!$D494)</f>
        <v>0</v>
      </c>
      <c r="X494" s="17" t="str">
        <f>IF(Template!$F494="","",SUMIF(Template!$M$3:$M$619,Template!$D494,Template!$AC$3:$AC$619))</f>
        <v/>
      </c>
      <c r="Y494" s="17" t="str">
        <f>IFERROR(VLOOKUP(Template!$M494,Template!$D$3:$G$619,MATCH("EmployeeJobTitle",Template!$D$2:$G$2,0),FALSE),"NA")</f>
        <v>GERENTE DE LOJA</v>
      </c>
      <c r="Z494" s="17" t="str">
        <f>IFERROR(VLOOKUP(Template!$M494,Template!$D$3:$G$619,MATCH("EmployeeGroup",Template!$D$2:$G$2,0),FALSE),"NA")</f>
        <v>GERENTE</v>
      </c>
      <c r="AA494" s="17" t="str">
        <f>IFERROR(VLOOKUP(Template!$M494,Template!$D$3:$V$619,MATCH("Layer",Template!$D$2:$V$2,0),FALSE),"NA")</f>
        <v>N3</v>
      </c>
      <c r="AB494" s="21">
        <f>VLOOKUP(Template!$M494,Template!$D$3:$F$619,MATCH("InternalGrade",Template!$D$2:$F$2,0),FALSE)-Template!$F494</f>
        <v>0</v>
      </c>
      <c r="AC494" s="17">
        <f>IF(Template!$AB494&lt;=1, 0.8,IF(Template!$AB494=2,0.4,IF(Template!$AB494=3,0.2,IF(Template!$AB494=4,0.1,IF(Template!$AB494&gt;=5,0.05,"erro")))))</f>
        <v>0.8</v>
      </c>
      <c r="AD494" s="17" t="b">
        <f>Template!$D494=Template!$M494</f>
        <v>0</v>
      </c>
      <c r="AE494" s="12" t="s">
        <v>58</v>
      </c>
    </row>
    <row r="495" ht="15.75" customHeight="1">
      <c r="A495" s="7" t="s">
        <v>190</v>
      </c>
      <c r="B495" s="7" t="s">
        <v>191</v>
      </c>
      <c r="C495" s="7" t="s">
        <v>259</v>
      </c>
      <c r="D495" s="13">
        <v>25343.0</v>
      </c>
      <c r="E495" s="7" t="s">
        <v>193</v>
      </c>
      <c r="F495" s="13"/>
      <c r="G495" s="14" t="s">
        <v>63</v>
      </c>
      <c r="H495" s="7" t="s">
        <v>237</v>
      </c>
      <c r="I495" s="7" t="s">
        <v>238</v>
      </c>
      <c r="J495" s="7" t="s">
        <v>70</v>
      </c>
      <c r="K495" s="15">
        <v>45537.0</v>
      </c>
      <c r="L495" s="15">
        <v>33638.0</v>
      </c>
      <c r="M495" s="13">
        <v>24118.0</v>
      </c>
      <c r="N495" s="7"/>
      <c r="O495" s="7"/>
      <c r="P495" s="7">
        <v>13.33</v>
      </c>
      <c r="Q495" s="7"/>
      <c r="R495" s="20"/>
      <c r="S495" s="7"/>
      <c r="T495" s="20"/>
      <c r="U495" s="16">
        <f>SUM(Template!$N495:$O495)*Template!$P495+Template!$Q495</f>
        <v>0</v>
      </c>
      <c r="V495" s="17" t="str">
        <f>IF(Template!$M495="CONSELHO","N",IF(Template!$AA495="N","N1",IF(Template!$AA495="N1","N2",IF(Template!$AA495="N2","N3",IF(Template!$AA495="N3","N4",IF(Template!$AA495="N4","N5",IF(Template!$AA495="N5","N6",IF(Template!$AA495="N6","N7",IF(Template!$AA495="N7","N8",IF(Template!$AA495="N8","N9",IF(Template!$AA495="N9","N10","NA")))))))))))</f>
        <v>N4</v>
      </c>
      <c r="W495" s="17">
        <f>COUNTIF(Template!$M$3:$M$619,Template!$D495)</f>
        <v>0</v>
      </c>
      <c r="X495" s="17" t="str">
        <f>IF(Template!$F495="","",SUMIF(Template!$M$3:$M$619,Template!$D495,Template!$AC$3:$AC$619))</f>
        <v/>
      </c>
      <c r="Y495" s="17" t="str">
        <f>IFERROR(VLOOKUP(Template!$M495,Template!$D$3:$G$619,MATCH("EmployeeJobTitle",Template!$D$2:$G$2,0),FALSE),"NA")</f>
        <v>GERENTE DE LOJA</v>
      </c>
      <c r="Z495" s="17" t="str">
        <f>IFERROR(VLOOKUP(Template!$M495,Template!$D$3:$G$619,MATCH("EmployeeGroup",Template!$D$2:$G$2,0),FALSE),"NA")</f>
        <v>GERENTE</v>
      </c>
      <c r="AA495" s="17" t="str">
        <f>IFERROR(VLOOKUP(Template!$M495,Template!$D$3:$V$619,MATCH("Layer",Template!$D$2:$V$2,0),FALSE),"NA")</f>
        <v>N3</v>
      </c>
      <c r="AB495" s="21">
        <f>VLOOKUP(Template!$M495,Template!$D$3:$F$619,MATCH("InternalGrade",Template!$D$2:$F$2,0),FALSE)-Template!$F495</f>
        <v>0</v>
      </c>
      <c r="AC495" s="17">
        <f>IF(Template!$AB495&lt;=1, 0.8,IF(Template!$AB495=2,0.4,IF(Template!$AB495=3,0.2,IF(Template!$AB495=4,0.1,IF(Template!$AB495&gt;=5,0.05,"erro")))))</f>
        <v>0.8</v>
      </c>
      <c r="AD495" s="17" t="b">
        <f>Template!$D495=Template!$M495</f>
        <v>0</v>
      </c>
      <c r="AE495" s="12" t="s">
        <v>58</v>
      </c>
    </row>
    <row r="496" ht="15.75" customHeight="1">
      <c r="A496" s="7" t="s">
        <v>190</v>
      </c>
      <c r="B496" s="7" t="s">
        <v>191</v>
      </c>
      <c r="C496" s="7" t="s">
        <v>259</v>
      </c>
      <c r="D496" s="13">
        <v>25381.0</v>
      </c>
      <c r="E496" s="7" t="s">
        <v>196</v>
      </c>
      <c r="F496" s="13"/>
      <c r="G496" s="14" t="s">
        <v>63</v>
      </c>
      <c r="H496" s="7" t="s">
        <v>237</v>
      </c>
      <c r="I496" s="7" t="s">
        <v>238</v>
      </c>
      <c r="J496" s="7" t="s">
        <v>70</v>
      </c>
      <c r="K496" s="15">
        <v>45551.0</v>
      </c>
      <c r="L496" s="15">
        <v>37410.0</v>
      </c>
      <c r="M496" s="13">
        <v>24118.0</v>
      </c>
      <c r="N496" s="7">
        <v>1836.0</v>
      </c>
      <c r="O496" s="7"/>
      <c r="P496" s="7">
        <v>13.33</v>
      </c>
      <c r="Q496" s="7"/>
      <c r="R496" s="20"/>
      <c r="S496" s="7"/>
      <c r="T496" s="20"/>
      <c r="U496" s="16">
        <f>SUM(Template!$N496:$O496)*Template!$P496+Template!$Q496</f>
        <v>24473.88</v>
      </c>
      <c r="V496" s="17" t="str">
        <f>IF(Template!$M496="CONSELHO","N",IF(Template!$AA496="N","N1",IF(Template!$AA496="N1","N2",IF(Template!$AA496="N2","N3",IF(Template!$AA496="N3","N4",IF(Template!$AA496="N4","N5",IF(Template!$AA496="N5","N6",IF(Template!$AA496="N6","N7",IF(Template!$AA496="N7","N8",IF(Template!$AA496="N8","N9",IF(Template!$AA496="N9","N10","NA")))))))))))</f>
        <v>N4</v>
      </c>
      <c r="W496" s="17">
        <f>COUNTIF(Template!$M$3:$M$619,Template!$D496)</f>
        <v>0</v>
      </c>
      <c r="X496" s="17" t="str">
        <f>IF(Template!$F496="","",SUMIF(Template!$M$3:$M$619,Template!$D496,Template!$AC$3:$AC$619))</f>
        <v/>
      </c>
      <c r="Y496" s="17" t="str">
        <f>IFERROR(VLOOKUP(Template!$M496,Template!$D$3:$G$619,MATCH("EmployeeJobTitle",Template!$D$2:$G$2,0),FALSE),"NA")</f>
        <v>GERENTE DE LOJA</v>
      </c>
      <c r="Z496" s="17" t="str">
        <f>IFERROR(VLOOKUP(Template!$M496,Template!$D$3:$G$619,MATCH("EmployeeGroup",Template!$D$2:$G$2,0),FALSE),"NA")</f>
        <v>GERENTE</v>
      </c>
      <c r="AA496" s="17" t="str">
        <f>IFERROR(VLOOKUP(Template!$M496,Template!$D$3:$V$619,MATCH("Layer",Template!$D$2:$V$2,0),FALSE),"NA")</f>
        <v>N3</v>
      </c>
      <c r="AB496" s="21">
        <f>VLOOKUP(Template!$M496,Template!$D$3:$F$619,MATCH("InternalGrade",Template!$D$2:$F$2,0),FALSE)-Template!$F496</f>
        <v>0</v>
      </c>
      <c r="AC496" s="17">
        <f>IF(Template!$AB496&lt;=1, 0.8,IF(Template!$AB496=2,0.4,IF(Template!$AB496=3,0.2,IF(Template!$AB496=4,0.1,IF(Template!$AB496&gt;=5,0.05,"erro")))))</f>
        <v>0.8</v>
      </c>
      <c r="AD496" s="17" t="b">
        <f>Template!$D496=Template!$M496</f>
        <v>0</v>
      </c>
      <c r="AE496" s="12" t="s">
        <v>58</v>
      </c>
    </row>
    <row r="497" ht="15.75" customHeight="1">
      <c r="A497" s="7" t="s">
        <v>190</v>
      </c>
      <c r="B497" s="7" t="s">
        <v>191</v>
      </c>
      <c r="C497" s="7" t="s">
        <v>259</v>
      </c>
      <c r="D497" s="13">
        <v>25418.0</v>
      </c>
      <c r="E497" s="7" t="s">
        <v>193</v>
      </c>
      <c r="F497" s="13"/>
      <c r="G497" s="14" t="s">
        <v>63</v>
      </c>
      <c r="H497" s="7" t="s">
        <v>237</v>
      </c>
      <c r="I497" s="7" t="s">
        <v>238</v>
      </c>
      <c r="J497" s="7" t="s">
        <v>70</v>
      </c>
      <c r="K497" s="15">
        <v>45566.0</v>
      </c>
      <c r="L497" s="15">
        <v>34032.0</v>
      </c>
      <c r="M497" s="13">
        <v>24118.0</v>
      </c>
      <c r="N497" s="7"/>
      <c r="O497" s="7"/>
      <c r="P497" s="7">
        <v>13.33</v>
      </c>
      <c r="Q497" s="7"/>
      <c r="R497" s="20"/>
      <c r="S497" s="7"/>
      <c r="T497" s="20"/>
      <c r="U497" s="16">
        <f>SUM(Template!$N497:$O497)*Template!$P497+Template!$Q497</f>
        <v>0</v>
      </c>
      <c r="V497" s="17" t="str">
        <f>IF(Template!$M497="CONSELHO","N",IF(Template!$AA497="N","N1",IF(Template!$AA497="N1","N2",IF(Template!$AA497="N2","N3",IF(Template!$AA497="N3","N4",IF(Template!$AA497="N4","N5",IF(Template!$AA497="N5","N6",IF(Template!$AA497="N6","N7",IF(Template!$AA497="N7","N8",IF(Template!$AA497="N8","N9",IF(Template!$AA497="N9","N10","NA")))))))))))</f>
        <v>N4</v>
      </c>
      <c r="W497" s="17">
        <f>COUNTIF(Template!$M$3:$M$619,Template!$D497)</f>
        <v>0</v>
      </c>
      <c r="X497" s="17" t="str">
        <f>IF(Template!$F497="","",SUMIF(Template!$M$3:$M$619,Template!$D497,Template!$AC$3:$AC$619))</f>
        <v/>
      </c>
      <c r="Y497" s="17" t="str">
        <f>IFERROR(VLOOKUP(Template!$M497,Template!$D$3:$G$619,MATCH("EmployeeJobTitle",Template!$D$2:$G$2,0),FALSE),"NA")</f>
        <v>GERENTE DE LOJA</v>
      </c>
      <c r="Z497" s="17" t="str">
        <f>IFERROR(VLOOKUP(Template!$M497,Template!$D$3:$G$619,MATCH("EmployeeGroup",Template!$D$2:$G$2,0),FALSE),"NA")</f>
        <v>GERENTE</v>
      </c>
      <c r="AA497" s="17" t="str">
        <f>IFERROR(VLOOKUP(Template!$M497,Template!$D$3:$V$619,MATCH("Layer",Template!$D$2:$V$2,0),FALSE),"NA")</f>
        <v>N3</v>
      </c>
      <c r="AB497" s="21">
        <f>VLOOKUP(Template!$M497,Template!$D$3:$F$619,MATCH("InternalGrade",Template!$D$2:$F$2,0),FALSE)-Template!$F497</f>
        <v>0</v>
      </c>
      <c r="AC497" s="17">
        <f>IF(Template!$AB497&lt;=1, 0.8,IF(Template!$AB497=2,0.4,IF(Template!$AB497=3,0.2,IF(Template!$AB497=4,0.1,IF(Template!$AB497&gt;=5,0.05,"erro")))))</f>
        <v>0.8</v>
      </c>
      <c r="AD497" s="17" t="b">
        <f>Template!$D497=Template!$M497</f>
        <v>0</v>
      </c>
      <c r="AE497" s="12" t="s">
        <v>58</v>
      </c>
    </row>
    <row r="498" ht="15.75" customHeight="1">
      <c r="A498" s="7" t="s">
        <v>190</v>
      </c>
      <c r="B498" s="7" t="s">
        <v>191</v>
      </c>
      <c r="C498" s="7" t="s">
        <v>259</v>
      </c>
      <c r="D498" s="13">
        <v>19719.0</v>
      </c>
      <c r="E498" s="7" t="s">
        <v>193</v>
      </c>
      <c r="F498" s="13"/>
      <c r="G498" s="14" t="s">
        <v>63</v>
      </c>
      <c r="H498" s="7" t="s">
        <v>237</v>
      </c>
      <c r="I498" s="7" t="s">
        <v>238</v>
      </c>
      <c r="J498" s="7" t="s">
        <v>70</v>
      </c>
      <c r="K498" s="15">
        <v>44410.0</v>
      </c>
      <c r="L498" s="15">
        <v>27510.0</v>
      </c>
      <c r="M498" s="13">
        <v>24118.0</v>
      </c>
      <c r="N498" s="7"/>
      <c r="O498" s="7"/>
      <c r="P498" s="7">
        <v>13.33</v>
      </c>
      <c r="Q498" s="7"/>
      <c r="R498" s="20"/>
      <c r="S498" s="7"/>
      <c r="T498" s="20"/>
      <c r="U498" s="16">
        <f>SUM(Template!$N498:$O498)*Template!$P498+Template!$Q498</f>
        <v>0</v>
      </c>
      <c r="V498" s="17" t="str">
        <f>IF(Template!$M498="CONSELHO","N",IF(Template!$AA498="N","N1",IF(Template!$AA498="N1","N2",IF(Template!$AA498="N2","N3",IF(Template!$AA498="N3","N4",IF(Template!$AA498="N4","N5",IF(Template!$AA498="N5","N6",IF(Template!$AA498="N6","N7",IF(Template!$AA498="N7","N8",IF(Template!$AA498="N8","N9",IF(Template!$AA498="N9","N10","NA")))))))))))</f>
        <v>N4</v>
      </c>
      <c r="W498" s="17">
        <f>COUNTIF(Template!$M$3:$M$619,Template!$D498)</f>
        <v>0</v>
      </c>
      <c r="X498" s="17" t="str">
        <f>IF(Template!$F498="","",SUMIF(Template!$M$3:$M$619,Template!$D498,Template!$AC$3:$AC$619))</f>
        <v/>
      </c>
      <c r="Y498" s="17" t="str">
        <f>IFERROR(VLOOKUP(Template!$M498,Template!$D$3:$G$619,MATCH("EmployeeJobTitle",Template!$D$2:$G$2,0),FALSE),"NA")</f>
        <v>GERENTE DE LOJA</v>
      </c>
      <c r="Z498" s="17" t="str">
        <f>IFERROR(VLOOKUP(Template!$M498,Template!$D$3:$G$619,MATCH("EmployeeGroup",Template!$D$2:$G$2,0),FALSE),"NA")</f>
        <v>GERENTE</v>
      </c>
      <c r="AA498" s="17" t="str">
        <f>IFERROR(VLOOKUP(Template!$M498,Template!$D$3:$V$619,MATCH("Layer",Template!$D$2:$V$2,0),FALSE),"NA")</f>
        <v>N3</v>
      </c>
      <c r="AB498" s="21">
        <f>VLOOKUP(Template!$M498,Template!$D$3:$F$619,MATCH("InternalGrade",Template!$D$2:$F$2,0),FALSE)-Template!$F498</f>
        <v>0</v>
      </c>
      <c r="AC498" s="17">
        <f>IF(Template!$AB498&lt;=1, 0.8,IF(Template!$AB498=2,0.4,IF(Template!$AB498=3,0.2,IF(Template!$AB498=4,0.1,IF(Template!$AB498&gt;=5,0.05,"erro")))))</f>
        <v>0.8</v>
      </c>
      <c r="AD498" s="17" t="b">
        <f>Template!$D498=Template!$M498</f>
        <v>0</v>
      </c>
      <c r="AE498" s="12" t="s">
        <v>58</v>
      </c>
    </row>
    <row r="499" ht="15.75" customHeight="1">
      <c r="A499" s="7" t="s">
        <v>190</v>
      </c>
      <c r="B499" s="7" t="s">
        <v>191</v>
      </c>
      <c r="C499" s="7" t="s">
        <v>259</v>
      </c>
      <c r="D499" s="13">
        <v>24819.0</v>
      </c>
      <c r="E499" s="7" t="s">
        <v>193</v>
      </c>
      <c r="F499" s="13"/>
      <c r="G499" s="14" t="s">
        <v>63</v>
      </c>
      <c r="H499" s="7" t="s">
        <v>237</v>
      </c>
      <c r="I499" s="7" t="s">
        <v>238</v>
      </c>
      <c r="J499" s="7" t="s">
        <v>70</v>
      </c>
      <c r="K499" s="15">
        <v>45313.0</v>
      </c>
      <c r="L499" s="15">
        <v>36697.0</v>
      </c>
      <c r="M499" s="13">
        <v>24118.0</v>
      </c>
      <c r="N499" s="7"/>
      <c r="O499" s="7"/>
      <c r="P499" s="7">
        <v>13.33</v>
      </c>
      <c r="Q499" s="7"/>
      <c r="R499" s="20"/>
      <c r="S499" s="7"/>
      <c r="T499" s="20"/>
      <c r="U499" s="16">
        <f>SUM(Template!$N499:$O499)*Template!$P499+Template!$Q499</f>
        <v>0</v>
      </c>
      <c r="V499" s="17" t="str">
        <f>IF(Template!$M499="CONSELHO","N",IF(Template!$AA499="N","N1",IF(Template!$AA499="N1","N2",IF(Template!$AA499="N2","N3",IF(Template!$AA499="N3","N4",IF(Template!$AA499="N4","N5",IF(Template!$AA499="N5","N6",IF(Template!$AA499="N6","N7",IF(Template!$AA499="N7","N8",IF(Template!$AA499="N8","N9",IF(Template!$AA499="N9","N10","NA")))))))))))</f>
        <v>N4</v>
      </c>
      <c r="W499" s="17">
        <f>COUNTIF(Template!$M$3:$M$619,Template!$D499)</f>
        <v>0</v>
      </c>
      <c r="X499" s="17" t="str">
        <f>IF(Template!$F499="","",SUMIF(Template!$M$3:$M$619,Template!$D499,Template!$AC$3:$AC$619))</f>
        <v/>
      </c>
      <c r="Y499" s="17" t="str">
        <f>IFERROR(VLOOKUP(Template!$M499,Template!$D$3:$G$619,MATCH("EmployeeJobTitle",Template!$D$2:$G$2,0),FALSE),"NA")</f>
        <v>GERENTE DE LOJA</v>
      </c>
      <c r="Z499" s="17" t="str">
        <f>IFERROR(VLOOKUP(Template!$M499,Template!$D$3:$G$619,MATCH("EmployeeGroup",Template!$D$2:$G$2,0),FALSE),"NA")</f>
        <v>GERENTE</v>
      </c>
      <c r="AA499" s="17" t="str">
        <f>IFERROR(VLOOKUP(Template!$M499,Template!$D$3:$V$619,MATCH("Layer",Template!$D$2:$V$2,0),FALSE),"NA")</f>
        <v>N3</v>
      </c>
      <c r="AB499" s="21">
        <f>VLOOKUP(Template!$M499,Template!$D$3:$F$619,MATCH("InternalGrade",Template!$D$2:$F$2,0),FALSE)-Template!$F499</f>
        <v>0</v>
      </c>
      <c r="AC499" s="17">
        <f>IF(Template!$AB499&lt;=1, 0.8,IF(Template!$AB499=2,0.4,IF(Template!$AB499=3,0.2,IF(Template!$AB499=4,0.1,IF(Template!$AB499&gt;=5,0.05,"erro")))))</f>
        <v>0.8</v>
      </c>
      <c r="AD499" s="17" t="b">
        <f>Template!$D499=Template!$M499</f>
        <v>0</v>
      </c>
      <c r="AE499" s="12" t="s">
        <v>58</v>
      </c>
    </row>
    <row r="500" ht="15.75" customHeight="1">
      <c r="A500" s="7" t="s">
        <v>190</v>
      </c>
      <c r="B500" s="7" t="s">
        <v>191</v>
      </c>
      <c r="C500" s="7" t="s">
        <v>259</v>
      </c>
      <c r="D500" s="13">
        <v>24118.0</v>
      </c>
      <c r="E500" s="7" t="s">
        <v>199</v>
      </c>
      <c r="F500" s="13"/>
      <c r="G500" s="22" t="s">
        <v>200</v>
      </c>
      <c r="H500" s="7" t="s">
        <v>237</v>
      </c>
      <c r="I500" s="7" t="s">
        <v>238</v>
      </c>
      <c r="J500" s="7" t="s">
        <v>70</v>
      </c>
      <c r="K500" s="15">
        <v>45110.0</v>
      </c>
      <c r="L500" s="15">
        <v>31039.0</v>
      </c>
      <c r="M500" s="13">
        <v>23256.0</v>
      </c>
      <c r="N500" s="7">
        <v>4400.0</v>
      </c>
      <c r="O500" s="7"/>
      <c r="P500" s="7">
        <v>13.33</v>
      </c>
      <c r="Q500" s="7"/>
      <c r="R500" s="20"/>
      <c r="S500" s="7"/>
      <c r="T500" s="20"/>
      <c r="U500" s="16">
        <f>SUM(Template!$N500:$O500)*Template!$P500+Template!$Q500</f>
        <v>58652</v>
      </c>
      <c r="V500" s="17" t="str">
        <f>IF(Template!$M500="CONSELHO","N",IF(Template!$AA500="N","N1",IF(Template!$AA500="N1","N2",IF(Template!$AA500="N2","N3",IF(Template!$AA500="N3","N4",IF(Template!$AA500="N4","N5",IF(Template!$AA500="N5","N6",IF(Template!$AA500="N6","N7",IF(Template!$AA500="N7","N8",IF(Template!$AA500="N8","N9",IF(Template!$AA500="N9","N10","NA")))))))))))</f>
        <v>N3</v>
      </c>
      <c r="W500" s="17">
        <f>COUNTIF(Template!$M$3:$M$619,Template!$D500)</f>
        <v>8</v>
      </c>
      <c r="X500" s="17" t="str">
        <f>IF(Template!$F500="","",SUMIF(Template!$M$3:$M$619,Template!$D500,Template!$AC$3:$AC$619))</f>
        <v/>
      </c>
      <c r="Y500" s="17" t="str">
        <f>IFERROR(VLOOKUP(Template!$M500,Template!$D$3:$G$619,MATCH("EmployeeJobTitle",Template!$D$2:$G$2,0),FALSE),"NA")</f>
        <v>GERENTE COMERCIAL</v>
      </c>
      <c r="Z500" s="17" t="str">
        <f>IFERROR(VLOOKUP(Template!$M500,Template!$D$3:$G$619,MATCH("EmployeeGroup",Template!$D$2:$G$2,0),FALSE),"NA")</f>
        <v>Coordenador</v>
      </c>
      <c r="AA500" s="17" t="str">
        <f>IFERROR(VLOOKUP(Template!$M500,Template!$D$3:$V$619,MATCH("Layer",Template!$D$2:$V$2,0),FALSE),"NA")</f>
        <v>N2</v>
      </c>
      <c r="AB500" s="21">
        <f>VLOOKUP(Template!$M500,Template!$D$3:$F$619,MATCH("InternalGrade",Template!$D$2:$F$2,0),FALSE)-Template!$F500</f>
        <v>19</v>
      </c>
      <c r="AC500" s="17">
        <f>IF(Template!$AB500&lt;=1, 0.8,IF(Template!$AB500=2,0.4,IF(Template!$AB500=3,0.2,IF(Template!$AB500=4,0.1,IF(Template!$AB500&gt;=5,0.05,"erro")))))</f>
        <v>0.05</v>
      </c>
      <c r="AD500" s="17" t="b">
        <f>Template!$D500=Template!$M500</f>
        <v>0</v>
      </c>
      <c r="AE500" s="12" t="s">
        <v>58</v>
      </c>
    </row>
    <row r="501" ht="15.75" customHeight="1">
      <c r="A501" s="7" t="s">
        <v>190</v>
      </c>
      <c r="B501" s="7" t="s">
        <v>191</v>
      </c>
      <c r="C501" s="7" t="s">
        <v>259</v>
      </c>
      <c r="D501" s="13">
        <v>25377.0</v>
      </c>
      <c r="E501" s="7" t="s">
        <v>196</v>
      </c>
      <c r="F501" s="13"/>
      <c r="G501" s="14" t="s">
        <v>63</v>
      </c>
      <c r="H501" s="7" t="s">
        <v>237</v>
      </c>
      <c r="I501" s="7" t="s">
        <v>238</v>
      </c>
      <c r="J501" s="7" t="s">
        <v>70</v>
      </c>
      <c r="K501" s="15">
        <v>45551.0</v>
      </c>
      <c r="L501" s="15">
        <v>38651.0</v>
      </c>
      <c r="M501" s="13">
        <v>24118.0</v>
      </c>
      <c r="N501" s="7">
        <v>1836.0</v>
      </c>
      <c r="O501" s="7"/>
      <c r="P501" s="7">
        <v>13.33</v>
      </c>
      <c r="Q501" s="7"/>
      <c r="R501" s="20"/>
      <c r="S501" s="7"/>
      <c r="T501" s="20"/>
      <c r="U501" s="16">
        <f>SUM(Template!$N501:$O501)*Template!$P501+Template!$Q501</f>
        <v>24473.88</v>
      </c>
      <c r="V501" s="17" t="str">
        <f>IF(Template!$M501="CONSELHO","N",IF(Template!$AA501="N","N1",IF(Template!$AA501="N1","N2",IF(Template!$AA501="N2","N3",IF(Template!$AA501="N3","N4",IF(Template!$AA501="N4","N5",IF(Template!$AA501="N5","N6",IF(Template!$AA501="N6","N7",IF(Template!$AA501="N7","N8",IF(Template!$AA501="N8","N9",IF(Template!$AA501="N9","N10","NA")))))))))))</f>
        <v>N4</v>
      </c>
      <c r="W501" s="17">
        <f>COUNTIF(Template!$M$3:$M$619,Template!$D501)</f>
        <v>0</v>
      </c>
      <c r="X501" s="17" t="str">
        <f>IF(Template!$F501="","",SUMIF(Template!$M$3:$M$619,Template!$D501,Template!$AC$3:$AC$619))</f>
        <v/>
      </c>
      <c r="Y501" s="17" t="str">
        <f>IFERROR(VLOOKUP(Template!$M501,Template!$D$3:$G$619,MATCH("EmployeeJobTitle",Template!$D$2:$G$2,0),FALSE),"NA")</f>
        <v>GERENTE DE LOJA</v>
      </c>
      <c r="Z501" s="17" t="str">
        <f>IFERROR(VLOOKUP(Template!$M501,Template!$D$3:$G$619,MATCH("EmployeeGroup",Template!$D$2:$G$2,0),FALSE),"NA")</f>
        <v>GERENTE</v>
      </c>
      <c r="AA501" s="17" t="str">
        <f>IFERROR(VLOOKUP(Template!$M501,Template!$D$3:$V$619,MATCH("Layer",Template!$D$2:$V$2,0),FALSE),"NA")</f>
        <v>N3</v>
      </c>
      <c r="AB501" s="21">
        <f>VLOOKUP(Template!$M501,Template!$D$3:$F$619,MATCH("InternalGrade",Template!$D$2:$F$2,0),FALSE)-Template!$F501</f>
        <v>0</v>
      </c>
      <c r="AC501" s="17">
        <f>IF(Template!$AB501&lt;=1, 0.8,IF(Template!$AB501=2,0.4,IF(Template!$AB501=3,0.2,IF(Template!$AB501=4,0.1,IF(Template!$AB501&gt;=5,0.05,"erro")))))</f>
        <v>0.8</v>
      </c>
      <c r="AD501" s="17" t="b">
        <f>Template!$D501=Template!$M501</f>
        <v>0</v>
      </c>
      <c r="AE501" s="12" t="s">
        <v>58</v>
      </c>
    </row>
    <row r="502" ht="15.75" customHeight="1">
      <c r="A502" s="7" t="s">
        <v>190</v>
      </c>
      <c r="B502" s="7" t="s">
        <v>191</v>
      </c>
      <c r="C502" s="7" t="s">
        <v>259</v>
      </c>
      <c r="D502" s="13">
        <v>25439.0</v>
      </c>
      <c r="E502" s="7" t="s">
        <v>193</v>
      </c>
      <c r="F502" s="13"/>
      <c r="G502" s="14" t="s">
        <v>63</v>
      </c>
      <c r="H502" s="7" t="s">
        <v>237</v>
      </c>
      <c r="I502" s="7" t="s">
        <v>238</v>
      </c>
      <c r="J502" s="7" t="s">
        <v>70</v>
      </c>
      <c r="K502" s="15">
        <v>45573.0</v>
      </c>
      <c r="L502" s="15">
        <v>25507.0</v>
      </c>
      <c r="M502" s="13">
        <v>24118.0</v>
      </c>
      <c r="N502" s="7"/>
      <c r="O502" s="7"/>
      <c r="P502" s="7">
        <v>13.33</v>
      </c>
      <c r="Q502" s="7"/>
      <c r="R502" s="20"/>
      <c r="S502" s="7"/>
      <c r="T502" s="20"/>
      <c r="U502" s="16">
        <f>SUM(Template!$N502:$O502)*Template!$P502+Template!$Q502</f>
        <v>0</v>
      </c>
      <c r="V502" s="17" t="str">
        <f>IF(Template!$M502="CONSELHO","N",IF(Template!$AA502="N","N1",IF(Template!$AA502="N1","N2",IF(Template!$AA502="N2","N3",IF(Template!$AA502="N3","N4",IF(Template!$AA502="N4","N5",IF(Template!$AA502="N5","N6",IF(Template!$AA502="N6","N7",IF(Template!$AA502="N7","N8",IF(Template!$AA502="N8","N9",IF(Template!$AA502="N9","N10","NA")))))))))))</f>
        <v>N4</v>
      </c>
      <c r="W502" s="17">
        <f>COUNTIF(Template!$M$3:$M$619,Template!$D502)</f>
        <v>0</v>
      </c>
      <c r="X502" s="17" t="str">
        <f>IF(Template!$F502="","",SUMIF(Template!$M$3:$M$619,Template!$D502,Template!$AC$3:$AC$619))</f>
        <v/>
      </c>
      <c r="Y502" s="17" t="str">
        <f>IFERROR(VLOOKUP(Template!$M502,Template!$D$3:$G$619,MATCH("EmployeeJobTitle",Template!$D$2:$G$2,0),FALSE),"NA")</f>
        <v>GERENTE DE LOJA</v>
      </c>
      <c r="Z502" s="17" t="str">
        <f>IFERROR(VLOOKUP(Template!$M502,Template!$D$3:$G$619,MATCH("EmployeeGroup",Template!$D$2:$G$2,0),FALSE),"NA")</f>
        <v>GERENTE</v>
      </c>
      <c r="AA502" s="17" t="str">
        <f>IFERROR(VLOOKUP(Template!$M502,Template!$D$3:$V$619,MATCH("Layer",Template!$D$2:$V$2,0),FALSE),"NA")</f>
        <v>N3</v>
      </c>
      <c r="AB502" s="21">
        <f>VLOOKUP(Template!$M502,Template!$D$3:$F$619,MATCH("InternalGrade",Template!$D$2:$F$2,0),FALSE)-Template!$F502</f>
        <v>0</v>
      </c>
      <c r="AC502" s="17">
        <f>IF(Template!$AB502&lt;=1, 0.8,IF(Template!$AB502=2,0.4,IF(Template!$AB502=3,0.2,IF(Template!$AB502=4,0.1,IF(Template!$AB502&gt;=5,0.05,"erro")))))</f>
        <v>0.8</v>
      </c>
      <c r="AD502" s="17" t="b">
        <f>Template!$D502=Template!$M502</f>
        <v>0</v>
      </c>
      <c r="AE502" s="12" t="s">
        <v>58</v>
      </c>
    </row>
    <row r="503" ht="15.75" customHeight="1">
      <c r="A503" s="7" t="s">
        <v>190</v>
      </c>
      <c r="B503" s="7" t="s">
        <v>191</v>
      </c>
      <c r="C503" s="7" t="s">
        <v>259</v>
      </c>
      <c r="D503" s="13">
        <v>20399.0</v>
      </c>
      <c r="E503" s="7" t="s">
        <v>193</v>
      </c>
      <c r="F503" s="13"/>
      <c r="G503" s="14" t="s">
        <v>63</v>
      </c>
      <c r="H503" s="7" t="s">
        <v>237</v>
      </c>
      <c r="I503" s="7" t="s">
        <v>238</v>
      </c>
      <c r="J503" s="7" t="s">
        <v>70</v>
      </c>
      <c r="K503" s="15">
        <v>44623.0</v>
      </c>
      <c r="L503" s="15">
        <v>29903.0</v>
      </c>
      <c r="M503" s="13">
        <v>24118.0</v>
      </c>
      <c r="N503" s="7"/>
      <c r="O503" s="7"/>
      <c r="P503" s="7">
        <v>13.33</v>
      </c>
      <c r="Q503" s="7"/>
      <c r="R503" s="20"/>
      <c r="S503" s="7"/>
      <c r="T503" s="20"/>
      <c r="U503" s="16">
        <f>SUM(Template!$N503:$O503)*Template!$P503+Template!$Q503</f>
        <v>0</v>
      </c>
      <c r="V503" s="17" t="str">
        <f>IF(Template!$M503="CONSELHO","N",IF(Template!$AA503="N","N1",IF(Template!$AA503="N1","N2",IF(Template!$AA503="N2","N3",IF(Template!$AA503="N3","N4",IF(Template!$AA503="N4","N5",IF(Template!$AA503="N5","N6",IF(Template!$AA503="N6","N7",IF(Template!$AA503="N7","N8",IF(Template!$AA503="N8","N9",IF(Template!$AA503="N9","N10","NA")))))))))))</f>
        <v>N4</v>
      </c>
      <c r="W503" s="17">
        <f>COUNTIF(Template!$M$3:$M$619,Template!$D503)</f>
        <v>0</v>
      </c>
      <c r="X503" s="17" t="str">
        <f>IF(Template!$F503="","",SUMIF(Template!$M$3:$M$619,Template!$D503,Template!$AC$3:$AC$619))</f>
        <v/>
      </c>
      <c r="Y503" s="17" t="str">
        <f>IFERROR(VLOOKUP(Template!$M503,Template!$D$3:$G$619,MATCH("EmployeeJobTitle",Template!$D$2:$G$2,0),FALSE),"NA")</f>
        <v>GERENTE DE LOJA</v>
      </c>
      <c r="Z503" s="17" t="str">
        <f>IFERROR(VLOOKUP(Template!$M503,Template!$D$3:$G$619,MATCH("EmployeeGroup",Template!$D$2:$G$2,0),FALSE),"NA")</f>
        <v>GERENTE</v>
      </c>
      <c r="AA503" s="17" t="str">
        <f>IFERROR(VLOOKUP(Template!$M503,Template!$D$3:$V$619,MATCH("Layer",Template!$D$2:$V$2,0),FALSE),"NA")</f>
        <v>N3</v>
      </c>
      <c r="AB503" s="21">
        <f>VLOOKUP(Template!$M503,Template!$D$3:$F$619,MATCH("InternalGrade",Template!$D$2:$F$2,0),FALSE)-Template!$F503</f>
        <v>0</v>
      </c>
      <c r="AC503" s="17">
        <f>IF(Template!$AB503&lt;=1, 0.8,IF(Template!$AB503=2,0.4,IF(Template!$AB503=3,0.2,IF(Template!$AB503=4,0.1,IF(Template!$AB503&gt;=5,0.05,"erro")))))</f>
        <v>0.8</v>
      </c>
      <c r="AD503" s="17" t="b">
        <f>Template!$D503=Template!$M503</f>
        <v>0</v>
      </c>
      <c r="AE503" s="12" t="s">
        <v>58</v>
      </c>
    </row>
    <row r="504" ht="15.75" customHeight="1">
      <c r="A504" s="7" t="s">
        <v>190</v>
      </c>
      <c r="B504" s="7" t="s">
        <v>160</v>
      </c>
      <c r="C504" s="7" t="s">
        <v>260</v>
      </c>
      <c r="D504" s="13">
        <v>15851.0</v>
      </c>
      <c r="E504" s="7" t="s">
        <v>199</v>
      </c>
      <c r="F504" s="13"/>
      <c r="G504" s="22" t="s">
        <v>200</v>
      </c>
      <c r="H504" s="7" t="s">
        <v>261</v>
      </c>
      <c r="I504" s="7" t="s">
        <v>262</v>
      </c>
      <c r="J504" s="7" t="s">
        <v>70</v>
      </c>
      <c r="K504" s="15">
        <v>42767.0</v>
      </c>
      <c r="L504" s="15">
        <v>29783.0</v>
      </c>
      <c r="M504" s="13">
        <v>12404.0</v>
      </c>
      <c r="N504" s="7">
        <v>5585.0</v>
      </c>
      <c r="O504" s="7"/>
      <c r="P504" s="7">
        <v>13.33</v>
      </c>
      <c r="Q504" s="7"/>
      <c r="R504" s="20"/>
      <c r="S504" s="7"/>
      <c r="T504" s="20"/>
      <c r="U504" s="16">
        <f>SUM(Template!$N504:$O504)*Template!$P504+Template!$Q504</f>
        <v>74448.05</v>
      </c>
      <c r="V504" s="17" t="str">
        <f>IF(Template!$M504="CONSELHO","N",IF(Template!$AA504="N","N1",IF(Template!$AA504="N1","N2",IF(Template!$AA504="N2","N3",IF(Template!$AA504="N3","N4",IF(Template!$AA504="N4","N5",IF(Template!$AA504="N5","N6",IF(Template!$AA504="N6","N7",IF(Template!$AA504="N7","N8",IF(Template!$AA504="N8","N9",IF(Template!$AA504="N9","N10","NA")))))))))))</f>
        <v>N3</v>
      </c>
      <c r="W504" s="17">
        <f>COUNTIF(Template!$M$3:$M$619,Template!$D504)</f>
        <v>11</v>
      </c>
      <c r="X504" s="17" t="str">
        <f>IF(Template!$F504="","",SUMIF(Template!$M$3:$M$619,Template!$D504,Template!$AC$3:$AC$619))</f>
        <v/>
      </c>
      <c r="Y504" s="17" t="str">
        <f>IFERROR(VLOOKUP(Template!$M504,Template!$D$3:$G$619,MATCH("EmployeeJobTitle",Template!$D$2:$G$2,0),FALSE),"NA")</f>
        <v>GERENTE COMERCIAL</v>
      </c>
      <c r="Z504" s="17" t="str">
        <f>IFERROR(VLOOKUP(Template!$M504,Template!$D$3:$G$619,MATCH("EmployeeGroup",Template!$D$2:$G$2,0),FALSE),"NA")</f>
        <v>Coordenador</v>
      </c>
      <c r="AA504" s="17" t="str">
        <f>IFERROR(VLOOKUP(Template!$M504,Template!$D$3:$V$619,MATCH("Layer",Template!$D$2:$V$2,0),FALSE),"NA")</f>
        <v>N2</v>
      </c>
      <c r="AB504" s="21">
        <f>VLOOKUP(Template!$M504,Template!$D$3:$F$619,MATCH("InternalGrade",Template!$D$2:$F$2,0),FALSE)-Template!$F504</f>
        <v>19</v>
      </c>
      <c r="AC504" s="17">
        <f>IF(Template!$AB504&lt;=1, 0.8,IF(Template!$AB504=2,0.4,IF(Template!$AB504=3,0.2,IF(Template!$AB504=4,0.1,IF(Template!$AB504&gt;=5,0.05,"erro")))))</f>
        <v>0.05</v>
      </c>
      <c r="AD504" s="17" t="b">
        <f>Template!$D504=Template!$M504</f>
        <v>0</v>
      </c>
      <c r="AE504" s="12" t="s">
        <v>58</v>
      </c>
    </row>
    <row r="505" ht="15.75" customHeight="1">
      <c r="A505" s="7" t="s">
        <v>190</v>
      </c>
      <c r="B505" s="7" t="s">
        <v>160</v>
      </c>
      <c r="C505" s="7" t="s">
        <v>260</v>
      </c>
      <c r="D505" s="13">
        <v>19389.0</v>
      </c>
      <c r="E505" s="7" t="s">
        <v>196</v>
      </c>
      <c r="F505" s="13"/>
      <c r="G505" s="14" t="s">
        <v>63</v>
      </c>
      <c r="H505" s="7" t="s">
        <v>261</v>
      </c>
      <c r="I505" s="7" t="s">
        <v>262</v>
      </c>
      <c r="J505" s="7" t="s">
        <v>70</v>
      </c>
      <c r="K505" s="15">
        <v>44239.0</v>
      </c>
      <c r="L505" s="15">
        <v>32822.0</v>
      </c>
      <c r="M505" s="13">
        <v>15851.0</v>
      </c>
      <c r="N505" s="7">
        <v>1483.0</v>
      </c>
      <c r="O505" s="7"/>
      <c r="P505" s="7">
        <v>13.33</v>
      </c>
      <c r="Q505" s="7"/>
      <c r="R505" s="20"/>
      <c r="S505" s="7"/>
      <c r="T505" s="20"/>
      <c r="U505" s="16">
        <f>SUM(Template!$N505:$O505)*Template!$P505+Template!$Q505</f>
        <v>19768.39</v>
      </c>
      <c r="V505" s="17" t="str">
        <f>IF(Template!$M505="CONSELHO","N",IF(Template!$AA505="N","N1",IF(Template!$AA505="N1","N2",IF(Template!$AA505="N2","N3",IF(Template!$AA505="N3","N4",IF(Template!$AA505="N4","N5",IF(Template!$AA505="N5","N6",IF(Template!$AA505="N6","N7",IF(Template!$AA505="N7","N8",IF(Template!$AA505="N8","N9",IF(Template!$AA505="N9","N10","NA")))))))))))</f>
        <v>N4</v>
      </c>
      <c r="W505" s="17">
        <f>COUNTIF(Template!$M$3:$M$619,Template!$D505)</f>
        <v>0</v>
      </c>
      <c r="X505" s="17" t="str">
        <f>IF(Template!$F505="","",SUMIF(Template!$M$3:$M$619,Template!$D505,Template!$AC$3:$AC$619))</f>
        <v/>
      </c>
      <c r="Y505" s="17" t="str">
        <f>IFERROR(VLOOKUP(Template!$M505,Template!$D$3:$G$619,MATCH("EmployeeJobTitle",Template!$D$2:$G$2,0),FALSE),"NA")</f>
        <v>GERENTE DE LOJA</v>
      </c>
      <c r="Z505" s="17" t="str">
        <f>IFERROR(VLOOKUP(Template!$M505,Template!$D$3:$G$619,MATCH("EmployeeGroup",Template!$D$2:$G$2,0),FALSE),"NA")</f>
        <v>GERENTE</v>
      </c>
      <c r="AA505" s="17" t="str">
        <f>IFERROR(VLOOKUP(Template!$M505,Template!$D$3:$V$619,MATCH("Layer",Template!$D$2:$V$2,0),FALSE),"NA")</f>
        <v>N3</v>
      </c>
      <c r="AB505" s="21">
        <f>VLOOKUP(Template!$M505,Template!$D$3:$F$619,MATCH("InternalGrade",Template!$D$2:$F$2,0),FALSE)-Template!$F505</f>
        <v>0</v>
      </c>
      <c r="AC505" s="17">
        <f>IF(Template!$AB505&lt;=1, 0.8,IF(Template!$AB505=2,0.4,IF(Template!$AB505=3,0.2,IF(Template!$AB505=4,0.1,IF(Template!$AB505&gt;=5,0.05,"erro")))))</f>
        <v>0.8</v>
      </c>
      <c r="AD505" s="17" t="b">
        <f>Template!$D505=Template!$M505</f>
        <v>0</v>
      </c>
      <c r="AE505" s="12" t="s">
        <v>58</v>
      </c>
    </row>
    <row r="506" ht="15.75" customHeight="1">
      <c r="A506" s="7" t="s">
        <v>190</v>
      </c>
      <c r="B506" s="7" t="s">
        <v>160</v>
      </c>
      <c r="C506" s="7" t="s">
        <v>260</v>
      </c>
      <c r="D506" s="13">
        <v>17537.0</v>
      </c>
      <c r="E506" s="7" t="s">
        <v>204</v>
      </c>
      <c r="F506" s="13"/>
      <c r="G506" s="14" t="s">
        <v>63</v>
      </c>
      <c r="H506" s="7" t="s">
        <v>261</v>
      </c>
      <c r="I506" s="7" t="s">
        <v>262</v>
      </c>
      <c r="J506" s="7" t="s">
        <v>70</v>
      </c>
      <c r="K506" s="15">
        <v>43507.0</v>
      </c>
      <c r="L506" s="15">
        <v>33603.0</v>
      </c>
      <c r="M506" s="13">
        <v>15851.0</v>
      </c>
      <c r="N506" s="7"/>
      <c r="O506" s="7"/>
      <c r="P506" s="7">
        <v>13.33</v>
      </c>
      <c r="Q506" s="7"/>
      <c r="R506" s="20"/>
      <c r="S506" s="7"/>
      <c r="T506" s="20"/>
      <c r="U506" s="16">
        <f>SUM(Template!$N506:$O506)*Template!$P506+Template!$Q506</f>
        <v>0</v>
      </c>
      <c r="V506" s="17" t="str">
        <f>IF(Template!$M506="CONSELHO","N",IF(Template!$AA506="N","N1",IF(Template!$AA506="N1","N2",IF(Template!$AA506="N2","N3",IF(Template!$AA506="N3","N4",IF(Template!$AA506="N4","N5",IF(Template!$AA506="N5","N6",IF(Template!$AA506="N6","N7",IF(Template!$AA506="N7","N8",IF(Template!$AA506="N8","N9",IF(Template!$AA506="N9","N10","NA")))))))))))</f>
        <v>N4</v>
      </c>
      <c r="W506" s="17">
        <f>COUNTIF(Template!$M$3:$M$619,Template!$D506)</f>
        <v>0</v>
      </c>
      <c r="X506" s="17" t="str">
        <f>IF(Template!$F506="","",SUMIF(Template!$M$3:$M$619,Template!$D506,Template!$AC$3:$AC$619))</f>
        <v/>
      </c>
      <c r="Y506" s="17" t="str">
        <f>IFERROR(VLOOKUP(Template!$M506,Template!$D$3:$G$619,MATCH("EmployeeJobTitle",Template!$D$2:$G$2,0),FALSE),"NA")</f>
        <v>GERENTE DE LOJA</v>
      </c>
      <c r="Z506" s="17" t="str">
        <f>IFERROR(VLOOKUP(Template!$M506,Template!$D$3:$G$619,MATCH("EmployeeGroup",Template!$D$2:$G$2,0),FALSE),"NA")</f>
        <v>GERENTE</v>
      </c>
      <c r="AA506" s="17" t="str">
        <f>IFERROR(VLOOKUP(Template!$M506,Template!$D$3:$V$619,MATCH("Layer",Template!$D$2:$V$2,0),FALSE),"NA")</f>
        <v>N3</v>
      </c>
      <c r="AB506" s="21">
        <f>VLOOKUP(Template!$M506,Template!$D$3:$F$619,MATCH("InternalGrade",Template!$D$2:$F$2,0),FALSE)-Template!$F506</f>
        <v>0</v>
      </c>
      <c r="AC506" s="17">
        <f>IF(Template!$AB506&lt;=1, 0.8,IF(Template!$AB506=2,0.4,IF(Template!$AB506=3,0.2,IF(Template!$AB506=4,0.1,IF(Template!$AB506&gt;=5,0.05,"erro")))))</f>
        <v>0.8</v>
      </c>
      <c r="AD506" s="17" t="b">
        <f>Template!$D506=Template!$M506</f>
        <v>0</v>
      </c>
      <c r="AE506" s="12" t="s">
        <v>58</v>
      </c>
    </row>
    <row r="507" ht="15.75" customHeight="1">
      <c r="A507" s="7" t="s">
        <v>190</v>
      </c>
      <c r="B507" s="7" t="s">
        <v>160</v>
      </c>
      <c r="C507" s="7" t="s">
        <v>260</v>
      </c>
      <c r="D507" s="13">
        <v>18755.0</v>
      </c>
      <c r="E507" s="7" t="s">
        <v>193</v>
      </c>
      <c r="F507" s="13"/>
      <c r="G507" s="14" t="s">
        <v>63</v>
      </c>
      <c r="H507" s="7" t="s">
        <v>261</v>
      </c>
      <c r="I507" s="7" t="s">
        <v>262</v>
      </c>
      <c r="J507" s="7" t="s">
        <v>70</v>
      </c>
      <c r="K507" s="15">
        <v>44097.0</v>
      </c>
      <c r="L507" s="15">
        <v>28000.0</v>
      </c>
      <c r="M507" s="13">
        <v>15851.0</v>
      </c>
      <c r="N507" s="7"/>
      <c r="O507" s="7"/>
      <c r="P507" s="7">
        <v>13.33</v>
      </c>
      <c r="Q507" s="7"/>
      <c r="R507" s="20"/>
      <c r="S507" s="7"/>
      <c r="T507" s="20"/>
      <c r="U507" s="16">
        <f>SUM(Template!$N507:$O507)*Template!$P507+Template!$Q507</f>
        <v>0</v>
      </c>
      <c r="V507" s="17" t="str">
        <f>IF(Template!$M507="CONSELHO","N",IF(Template!$AA507="N","N1",IF(Template!$AA507="N1","N2",IF(Template!$AA507="N2","N3",IF(Template!$AA507="N3","N4",IF(Template!$AA507="N4","N5",IF(Template!$AA507="N5","N6",IF(Template!$AA507="N6","N7",IF(Template!$AA507="N7","N8",IF(Template!$AA507="N8","N9",IF(Template!$AA507="N9","N10","NA")))))))))))</f>
        <v>N4</v>
      </c>
      <c r="W507" s="17">
        <f>COUNTIF(Template!$M$3:$M$619,Template!$D507)</f>
        <v>0</v>
      </c>
      <c r="X507" s="17" t="str">
        <f>IF(Template!$F507="","",SUMIF(Template!$M$3:$M$619,Template!$D507,Template!$AC$3:$AC$619))</f>
        <v/>
      </c>
      <c r="Y507" s="17" t="str">
        <f>IFERROR(VLOOKUP(Template!$M507,Template!$D$3:$G$619,MATCH("EmployeeJobTitle",Template!$D$2:$G$2,0),FALSE),"NA")</f>
        <v>GERENTE DE LOJA</v>
      </c>
      <c r="Z507" s="17" t="str">
        <f>IFERROR(VLOOKUP(Template!$M507,Template!$D$3:$G$619,MATCH("EmployeeGroup",Template!$D$2:$G$2,0),FALSE),"NA")</f>
        <v>GERENTE</v>
      </c>
      <c r="AA507" s="17" t="str">
        <f>IFERROR(VLOOKUP(Template!$M507,Template!$D$3:$V$619,MATCH("Layer",Template!$D$2:$V$2,0),FALSE),"NA")</f>
        <v>N3</v>
      </c>
      <c r="AB507" s="21">
        <f>VLOOKUP(Template!$M507,Template!$D$3:$F$619,MATCH("InternalGrade",Template!$D$2:$F$2,0),FALSE)-Template!$F507</f>
        <v>0</v>
      </c>
      <c r="AC507" s="17">
        <f>IF(Template!$AB507&lt;=1, 0.8,IF(Template!$AB507=2,0.4,IF(Template!$AB507=3,0.2,IF(Template!$AB507=4,0.1,IF(Template!$AB507&gt;=5,0.05,"erro")))))</f>
        <v>0.8</v>
      </c>
      <c r="AD507" s="17" t="b">
        <f>Template!$D507=Template!$M507</f>
        <v>0</v>
      </c>
      <c r="AE507" s="12" t="s">
        <v>58</v>
      </c>
    </row>
    <row r="508" ht="15.75" customHeight="1">
      <c r="A508" s="7" t="s">
        <v>190</v>
      </c>
      <c r="B508" s="7" t="s">
        <v>160</v>
      </c>
      <c r="C508" s="7" t="s">
        <v>260</v>
      </c>
      <c r="D508" s="13">
        <v>15866.0</v>
      </c>
      <c r="E508" s="7" t="s">
        <v>193</v>
      </c>
      <c r="F508" s="13"/>
      <c r="G508" s="14" t="s">
        <v>63</v>
      </c>
      <c r="H508" s="7" t="s">
        <v>261</v>
      </c>
      <c r="I508" s="7" t="s">
        <v>262</v>
      </c>
      <c r="J508" s="7" t="s">
        <v>70</v>
      </c>
      <c r="K508" s="15">
        <v>42773.0</v>
      </c>
      <c r="L508" s="15">
        <v>30244.0</v>
      </c>
      <c r="M508" s="13">
        <v>15851.0</v>
      </c>
      <c r="N508" s="7"/>
      <c r="O508" s="7"/>
      <c r="P508" s="7">
        <v>13.33</v>
      </c>
      <c r="Q508" s="7"/>
      <c r="R508" s="20"/>
      <c r="S508" s="7"/>
      <c r="T508" s="20"/>
      <c r="U508" s="16">
        <f>SUM(Template!$N508:$O508)*Template!$P508+Template!$Q508</f>
        <v>0</v>
      </c>
      <c r="V508" s="17" t="str">
        <f>IF(Template!$M508="CONSELHO","N",IF(Template!$AA508="N","N1",IF(Template!$AA508="N1","N2",IF(Template!$AA508="N2","N3",IF(Template!$AA508="N3","N4",IF(Template!$AA508="N4","N5",IF(Template!$AA508="N5","N6",IF(Template!$AA508="N6","N7",IF(Template!$AA508="N7","N8",IF(Template!$AA508="N8","N9",IF(Template!$AA508="N9","N10","NA")))))))))))</f>
        <v>N4</v>
      </c>
      <c r="W508" s="17">
        <f>COUNTIF(Template!$M$3:$M$619,Template!$D508)</f>
        <v>0</v>
      </c>
      <c r="X508" s="17" t="str">
        <f>IF(Template!$F508="","",SUMIF(Template!$M$3:$M$619,Template!$D508,Template!$AC$3:$AC$619))</f>
        <v/>
      </c>
      <c r="Y508" s="17" t="str">
        <f>IFERROR(VLOOKUP(Template!$M508,Template!$D$3:$G$619,MATCH("EmployeeJobTitle",Template!$D$2:$G$2,0),FALSE),"NA")</f>
        <v>GERENTE DE LOJA</v>
      </c>
      <c r="Z508" s="17" t="str">
        <f>IFERROR(VLOOKUP(Template!$M508,Template!$D$3:$G$619,MATCH("EmployeeGroup",Template!$D$2:$G$2,0),FALSE),"NA")</f>
        <v>GERENTE</v>
      </c>
      <c r="AA508" s="17" t="str">
        <f>IFERROR(VLOOKUP(Template!$M508,Template!$D$3:$V$619,MATCH("Layer",Template!$D$2:$V$2,0),FALSE),"NA")</f>
        <v>N3</v>
      </c>
      <c r="AB508" s="21">
        <f>VLOOKUP(Template!$M508,Template!$D$3:$F$619,MATCH("InternalGrade",Template!$D$2:$F$2,0),FALSE)-Template!$F508</f>
        <v>0</v>
      </c>
      <c r="AC508" s="17">
        <f>IF(Template!$AB508&lt;=1, 0.8,IF(Template!$AB508=2,0.4,IF(Template!$AB508=3,0.2,IF(Template!$AB508=4,0.1,IF(Template!$AB508&gt;=5,0.05,"erro")))))</f>
        <v>0.8</v>
      </c>
      <c r="AD508" s="17" t="b">
        <f>Template!$D508=Template!$M508</f>
        <v>0</v>
      </c>
      <c r="AE508" s="12" t="s">
        <v>58</v>
      </c>
    </row>
    <row r="509" ht="15.75" customHeight="1">
      <c r="A509" s="7" t="s">
        <v>190</v>
      </c>
      <c r="B509" s="7" t="s">
        <v>160</v>
      </c>
      <c r="C509" s="7" t="s">
        <v>260</v>
      </c>
      <c r="D509" s="13">
        <v>15872.0</v>
      </c>
      <c r="E509" s="7" t="s">
        <v>197</v>
      </c>
      <c r="F509" s="13"/>
      <c r="G509" s="22" t="s">
        <v>87</v>
      </c>
      <c r="H509" s="7" t="s">
        <v>261</v>
      </c>
      <c r="I509" s="7" t="s">
        <v>262</v>
      </c>
      <c r="J509" s="7" t="s">
        <v>70</v>
      </c>
      <c r="K509" s="15">
        <v>42775.0</v>
      </c>
      <c r="L509" s="15">
        <v>32183.0</v>
      </c>
      <c r="M509" s="13">
        <v>15851.0</v>
      </c>
      <c r="N509" s="7"/>
      <c r="O509" s="7"/>
      <c r="P509" s="7">
        <v>13.33</v>
      </c>
      <c r="Q509" s="7"/>
      <c r="R509" s="20"/>
      <c r="S509" s="7"/>
      <c r="T509" s="20"/>
      <c r="U509" s="16">
        <f>SUM(Template!$N509:$O509)*Template!$P509+Template!$Q509</f>
        <v>0</v>
      </c>
      <c r="V509" s="17" t="str">
        <f>IF(Template!$M509="CONSELHO","N",IF(Template!$AA509="N","N1",IF(Template!$AA509="N1","N2",IF(Template!$AA509="N2","N3",IF(Template!$AA509="N3","N4",IF(Template!$AA509="N4","N5",IF(Template!$AA509="N5","N6",IF(Template!$AA509="N6","N7",IF(Template!$AA509="N7","N8",IF(Template!$AA509="N8","N9",IF(Template!$AA509="N9","N10","NA")))))))))))</f>
        <v>N4</v>
      </c>
      <c r="W509" s="17">
        <f>COUNTIF(Template!$M$3:$M$619,Template!$D509)</f>
        <v>0</v>
      </c>
      <c r="X509" s="17" t="str">
        <f>IF(Template!$F509="","",SUMIF(Template!$M$3:$M$619,Template!$D509,Template!$AC$3:$AC$619))</f>
        <v/>
      </c>
      <c r="Y509" s="17" t="str">
        <f>IFERROR(VLOOKUP(Template!$M509,Template!$D$3:$G$619,MATCH("EmployeeJobTitle",Template!$D$2:$G$2,0),FALSE),"NA")</f>
        <v>GERENTE DE LOJA</v>
      </c>
      <c r="Z509" s="17" t="str">
        <f>IFERROR(VLOOKUP(Template!$M509,Template!$D$3:$G$619,MATCH("EmployeeGroup",Template!$D$2:$G$2,0),FALSE),"NA")</f>
        <v>GERENTE</v>
      </c>
      <c r="AA509" s="17" t="str">
        <f>IFERROR(VLOOKUP(Template!$M509,Template!$D$3:$V$619,MATCH("Layer",Template!$D$2:$V$2,0),FALSE),"NA")</f>
        <v>N3</v>
      </c>
      <c r="AB509" s="21">
        <f>VLOOKUP(Template!$M509,Template!$D$3:$F$619,MATCH("InternalGrade",Template!$D$2:$F$2,0),FALSE)-Template!$F509</f>
        <v>0</v>
      </c>
      <c r="AC509" s="17">
        <f>IF(Template!$AB509&lt;=1, 0.8,IF(Template!$AB509=2,0.4,IF(Template!$AB509=3,0.2,IF(Template!$AB509=4,0.1,IF(Template!$AB509&gt;=5,0.05,"erro")))))</f>
        <v>0.8</v>
      </c>
      <c r="AD509" s="17" t="b">
        <f>Template!$D509=Template!$M509</f>
        <v>0</v>
      </c>
      <c r="AE509" s="12" t="s">
        <v>58</v>
      </c>
    </row>
    <row r="510" ht="15.75" customHeight="1">
      <c r="A510" s="7" t="s">
        <v>190</v>
      </c>
      <c r="B510" s="7" t="s">
        <v>160</v>
      </c>
      <c r="C510" s="7" t="s">
        <v>260</v>
      </c>
      <c r="D510" s="13">
        <v>24259.0</v>
      </c>
      <c r="E510" s="7" t="s">
        <v>198</v>
      </c>
      <c r="F510" s="13"/>
      <c r="G510" s="14" t="s">
        <v>63</v>
      </c>
      <c r="H510" s="7" t="s">
        <v>261</v>
      </c>
      <c r="I510" s="7" t="s">
        <v>262</v>
      </c>
      <c r="J510" s="7" t="s">
        <v>70</v>
      </c>
      <c r="K510" s="15">
        <v>45170.0</v>
      </c>
      <c r="L510" s="15">
        <v>32621.0</v>
      </c>
      <c r="M510" s="13">
        <v>15851.0</v>
      </c>
      <c r="N510" s="7">
        <v>1454.0</v>
      </c>
      <c r="O510" s="7"/>
      <c r="P510" s="7">
        <v>13.33</v>
      </c>
      <c r="Q510" s="7"/>
      <c r="R510" s="20"/>
      <c r="S510" s="7"/>
      <c r="T510" s="20"/>
      <c r="U510" s="16">
        <f>SUM(Template!$N510:$O510)*Template!$P510+Template!$Q510</f>
        <v>19381.82</v>
      </c>
      <c r="V510" s="17" t="str">
        <f>IF(Template!$M510="CONSELHO","N",IF(Template!$AA510="N","N1",IF(Template!$AA510="N1","N2",IF(Template!$AA510="N2","N3",IF(Template!$AA510="N3","N4",IF(Template!$AA510="N4","N5",IF(Template!$AA510="N5","N6",IF(Template!$AA510="N6","N7",IF(Template!$AA510="N7","N8",IF(Template!$AA510="N8","N9",IF(Template!$AA510="N9","N10","NA")))))))))))</f>
        <v>N4</v>
      </c>
      <c r="W510" s="17">
        <f>COUNTIF(Template!$M$3:$M$619,Template!$D510)</f>
        <v>0</v>
      </c>
      <c r="X510" s="17" t="str">
        <f>IF(Template!$F510="","",SUMIF(Template!$M$3:$M$619,Template!$D510,Template!$AC$3:$AC$619))</f>
        <v/>
      </c>
      <c r="Y510" s="17" t="str">
        <f>IFERROR(VLOOKUP(Template!$M510,Template!$D$3:$G$619,MATCH("EmployeeJobTitle",Template!$D$2:$G$2,0),FALSE),"NA")</f>
        <v>GERENTE DE LOJA</v>
      </c>
      <c r="Z510" s="17" t="str">
        <f>IFERROR(VLOOKUP(Template!$M510,Template!$D$3:$G$619,MATCH("EmployeeGroup",Template!$D$2:$G$2,0),FALSE),"NA")</f>
        <v>GERENTE</v>
      </c>
      <c r="AA510" s="17" t="str">
        <f>IFERROR(VLOOKUP(Template!$M510,Template!$D$3:$V$619,MATCH("Layer",Template!$D$2:$V$2,0),FALSE),"NA")</f>
        <v>N3</v>
      </c>
      <c r="AB510" s="21">
        <f>VLOOKUP(Template!$M510,Template!$D$3:$F$619,MATCH("InternalGrade",Template!$D$2:$F$2,0),FALSE)-Template!$F510</f>
        <v>0</v>
      </c>
      <c r="AC510" s="17">
        <f>IF(Template!$AB510&lt;=1, 0.8,IF(Template!$AB510=2,0.4,IF(Template!$AB510=3,0.2,IF(Template!$AB510=4,0.1,IF(Template!$AB510&gt;=5,0.05,"erro")))))</f>
        <v>0.8</v>
      </c>
      <c r="AD510" s="17" t="b">
        <f>Template!$D510=Template!$M510</f>
        <v>0</v>
      </c>
      <c r="AE510" s="12" t="s">
        <v>58</v>
      </c>
    </row>
    <row r="511" ht="15.75" customHeight="1">
      <c r="A511" s="7" t="s">
        <v>190</v>
      </c>
      <c r="B511" s="7" t="s">
        <v>160</v>
      </c>
      <c r="C511" s="7" t="s">
        <v>260</v>
      </c>
      <c r="D511" s="13">
        <v>18747.0</v>
      </c>
      <c r="E511" s="7" t="s">
        <v>198</v>
      </c>
      <c r="F511" s="13"/>
      <c r="G511" s="14" t="s">
        <v>63</v>
      </c>
      <c r="H511" s="7" t="s">
        <v>261</v>
      </c>
      <c r="I511" s="7" t="s">
        <v>262</v>
      </c>
      <c r="J511" s="7" t="s">
        <v>70</v>
      </c>
      <c r="K511" s="15">
        <v>44091.0</v>
      </c>
      <c r="L511" s="15">
        <v>32578.0</v>
      </c>
      <c r="M511" s="13">
        <v>15851.0</v>
      </c>
      <c r="N511" s="7">
        <v>1483.0</v>
      </c>
      <c r="O511" s="7"/>
      <c r="P511" s="7">
        <v>13.33</v>
      </c>
      <c r="Q511" s="7"/>
      <c r="R511" s="20"/>
      <c r="S511" s="7"/>
      <c r="T511" s="20"/>
      <c r="U511" s="16">
        <f>SUM(Template!$N511:$O511)*Template!$P511+Template!$Q511</f>
        <v>19768.39</v>
      </c>
      <c r="V511" s="17" t="str">
        <f>IF(Template!$M511="CONSELHO","N",IF(Template!$AA511="N","N1",IF(Template!$AA511="N1","N2",IF(Template!$AA511="N2","N3",IF(Template!$AA511="N3","N4",IF(Template!$AA511="N4","N5",IF(Template!$AA511="N5","N6",IF(Template!$AA511="N6","N7",IF(Template!$AA511="N7","N8",IF(Template!$AA511="N8","N9",IF(Template!$AA511="N9","N10","NA")))))))))))</f>
        <v>N4</v>
      </c>
      <c r="W511" s="17">
        <f>COUNTIF(Template!$M$3:$M$619,Template!$D511)</f>
        <v>0</v>
      </c>
      <c r="X511" s="17" t="str">
        <f>IF(Template!$F511="","",SUMIF(Template!$M$3:$M$619,Template!$D511,Template!$AC$3:$AC$619))</f>
        <v/>
      </c>
      <c r="Y511" s="17" t="str">
        <f>IFERROR(VLOOKUP(Template!$M511,Template!$D$3:$G$619,MATCH("EmployeeJobTitle",Template!$D$2:$G$2,0),FALSE),"NA")</f>
        <v>GERENTE DE LOJA</v>
      </c>
      <c r="Z511" s="17" t="str">
        <f>IFERROR(VLOOKUP(Template!$M511,Template!$D$3:$G$619,MATCH("EmployeeGroup",Template!$D$2:$G$2,0),FALSE),"NA")</f>
        <v>GERENTE</v>
      </c>
      <c r="AA511" s="17" t="str">
        <f>IFERROR(VLOOKUP(Template!$M511,Template!$D$3:$V$619,MATCH("Layer",Template!$D$2:$V$2,0),FALSE),"NA")</f>
        <v>N3</v>
      </c>
      <c r="AB511" s="21">
        <f>VLOOKUP(Template!$M511,Template!$D$3:$F$619,MATCH("InternalGrade",Template!$D$2:$F$2,0),FALSE)-Template!$F511</f>
        <v>0</v>
      </c>
      <c r="AC511" s="17">
        <f>IF(Template!$AB511&lt;=1, 0.8,IF(Template!$AB511=2,0.4,IF(Template!$AB511=3,0.2,IF(Template!$AB511=4,0.1,IF(Template!$AB511&gt;=5,0.05,"erro")))))</f>
        <v>0.8</v>
      </c>
      <c r="AD511" s="17" t="b">
        <f>Template!$D511=Template!$M511</f>
        <v>0</v>
      </c>
      <c r="AE511" s="12" t="s">
        <v>58</v>
      </c>
    </row>
    <row r="512" ht="15.75" customHeight="1">
      <c r="A512" s="7" t="s">
        <v>190</v>
      </c>
      <c r="B512" s="7" t="s">
        <v>160</v>
      </c>
      <c r="C512" s="7" t="s">
        <v>260</v>
      </c>
      <c r="D512" s="13">
        <v>25373.0</v>
      </c>
      <c r="E512" s="7" t="s">
        <v>201</v>
      </c>
      <c r="F512" s="13"/>
      <c r="G512" s="14" t="s">
        <v>63</v>
      </c>
      <c r="H512" s="7" t="s">
        <v>261</v>
      </c>
      <c r="I512" s="7" t="s">
        <v>262</v>
      </c>
      <c r="J512" s="7" t="s">
        <v>70</v>
      </c>
      <c r="K512" s="15">
        <v>45544.0</v>
      </c>
      <c r="L512" s="15">
        <v>38126.0</v>
      </c>
      <c r="M512" s="13">
        <v>15851.0</v>
      </c>
      <c r="N512" s="7">
        <v>995.08</v>
      </c>
      <c r="O512" s="7"/>
      <c r="P512" s="7">
        <v>13.33</v>
      </c>
      <c r="Q512" s="7"/>
      <c r="R512" s="20"/>
      <c r="S512" s="7"/>
      <c r="T512" s="20"/>
      <c r="U512" s="16">
        <f>SUM(Template!$N512:$O512)*Template!$P512+Template!$Q512</f>
        <v>13264.4164</v>
      </c>
      <c r="V512" s="17" t="str">
        <f>IF(Template!$M512="CONSELHO","N",IF(Template!$AA512="N","N1",IF(Template!$AA512="N1","N2",IF(Template!$AA512="N2","N3",IF(Template!$AA512="N3","N4",IF(Template!$AA512="N4","N5",IF(Template!$AA512="N5","N6",IF(Template!$AA512="N6","N7",IF(Template!$AA512="N7","N8",IF(Template!$AA512="N8","N9",IF(Template!$AA512="N9","N10","NA")))))))))))</f>
        <v>N4</v>
      </c>
      <c r="W512" s="17">
        <f>COUNTIF(Template!$M$3:$M$619,Template!$D512)</f>
        <v>0</v>
      </c>
      <c r="X512" s="17" t="str">
        <f>IF(Template!$F512="","",SUMIF(Template!$M$3:$M$619,Template!$D512,Template!$AC$3:$AC$619))</f>
        <v/>
      </c>
      <c r="Y512" s="17" t="str">
        <f>IFERROR(VLOOKUP(Template!$M512,Template!$D$3:$G$619,MATCH("EmployeeJobTitle",Template!$D$2:$G$2,0),FALSE),"NA")</f>
        <v>GERENTE DE LOJA</v>
      </c>
      <c r="Z512" s="17" t="str">
        <f>IFERROR(VLOOKUP(Template!$M512,Template!$D$3:$G$619,MATCH("EmployeeGroup",Template!$D$2:$G$2,0),FALSE),"NA")</f>
        <v>GERENTE</v>
      </c>
      <c r="AA512" s="17" t="str">
        <f>IFERROR(VLOOKUP(Template!$M512,Template!$D$3:$V$619,MATCH("Layer",Template!$D$2:$V$2,0),FALSE),"NA")</f>
        <v>N3</v>
      </c>
      <c r="AB512" s="21">
        <f>VLOOKUP(Template!$M512,Template!$D$3:$F$619,MATCH("InternalGrade",Template!$D$2:$F$2,0),FALSE)-Template!$F512</f>
        <v>0</v>
      </c>
      <c r="AC512" s="17">
        <f>IF(Template!$AB512&lt;=1, 0.8,IF(Template!$AB512=2,0.4,IF(Template!$AB512=3,0.2,IF(Template!$AB512=4,0.1,IF(Template!$AB512&gt;=5,0.05,"erro")))))</f>
        <v>0.8</v>
      </c>
      <c r="AD512" s="17" t="b">
        <f>Template!$D512=Template!$M512</f>
        <v>0</v>
      </c>
      <c r="AE512" s="12" t="s">
        <v>58</v>
      </c>
    </row>
    <row r="513" ht="15.75" customHeight="1">
      <c r="A513" s="7" t="s">
        <v>190</v>
      </c>
      <c r="B513" s="7" t="s">
        <v>160</v>
      </c>
      <c r="C513" s="7" t="s">
        <v>260</v>
      </c>
      <c r="D513" s="13">
        <v>25174.0</v>
      </c>
      <c r="E513" s="7" t="s">
        <v>198</v>
      </c>
      <c r="F513" s="13"/>
      <c r="G513" s="14" t="s">
        <v>63</v>
      </c>
      <c r="H513" s="7" t="s">
        <v>261</v>
      </c>
      <c r="I513" s="7" t="s">
        <v>262</v>
      </c>
      <c r="J513" s="7" t="s">
        <v>70</v>
      </c>
      <c r="K513" s="15">
        <v>45476.0</v>
      </c>
      <c r="L513" s="15">
        <v>35634.0</v>
      </c>
      <c r="M513" s="13">
        <v>15851.0</v>
      </c>
      <c r="N513" s="7">
        <v>1438.0</v>
      </c>
      <c r="O513" s="7"/>
      <c r="P513" s="7">
        <v>13.33</v>
      </c>
      <c r="Q513" s="7"/>
      <c r="R513" s="20"/>
      <c r="S513" s="7"/>
      <c r="T513" s="20"/>
      <c r="U513" s="16">
        <f>SUM(Template!$N513:$O513)*Template!$P513+Template!$Q513</f>
        <v>19168.54</v>
      </c>
      <c r="V513" s="17" t="str">
        <f>IF(Template!$M513="CONSELHO","N",IF(Template!$AA513="N","N1",IF(Template!$AA513="N1","N2",IF(Template!$AA513="N2","N3",IF(Template!$AA513="N3","N4",IF(Template!$AA513="N4","N5",IF(Template!$AA513="N5","N6",IF(Template!$AA513="N6","N7",IF(Template!$AA513="N7","N8",IF(Template!$AA513="N8","N9",IF(Template!$AA513="N9","N10","NA")))))))))))</f>
        <v>N4</v>
      </c>
      <c r="W513" s="17">
        <f>COUNTIF(Template!$M$3:$M$619,Template!$D513)</f>
        <v>0</v>
      </c>
      <c r="X513" s="17" t="str">
        <f>IF(Template!$F513="","",SUMIF(Template!$M$3:$M$619,Template!$D513,Template!$AC$3:$AC$619))</f>
        <v/>
      </c>
      <c r="Y513" s="17" t="str">
        <f>IFERROR(VLOOKUP(Template!$M513,Template!$D$3:$G$619,MATCH("EmployeeJobTitle",Template!$D$2:$G$2,0),FALSE),"NA")</f>
        <v>GERENTE DE LOJA</v>
      </c>
      <c r="Z513" s="17" t="str">
        <f>IFERROR(VLOOKUP(Template!$M513,Template!$D$3:$G$619,MATCH("EmployeeGroup",Template!$D$2:$G$2,0),FALSE),"NA")</f>
        <v>GERENTE</v>
      </c>
      <c r="AA513" s="17" t="str">
        <f>IFERROR(VLOOKUP(Template!$M513,Template!$D$3:$V$619,MATCH("Layer",Template!$D$2:$V$2,0),FALSE),"NA")</f>
        <v>N3</v>
      </c>
      <c r="AB513" s="21">
        <f>VLOOKUP(Template!$M513,Template!$D$3:$F$619,MATCH("InternalGrade",Template!$D$2:$F$2,0),FALSE)-Template!$F513</f>
        <v>0</v>
      </c>
      <c r="AC513" s="17">
        <f>IF(Template!$AB513&lt;=1, 0.8,IF(Template!$AB513=2,0.4,IF(Template!$AB513=3,0.2,IF(Template!$AB513=4,0.1,IF(Template!$AB513&gt;=5,0.05,"erro")))))</f>
        <v>0.8</v>
      </c>
      <c r="AD513" s="17" t="b">
        <f>Template!$D513=Template!$M513</f>
        <v>0</v>
      </c>
      <c r="AE513" s="12" t="s">
        <v>58</v>
      </c>
    </row>
    <row r="514" ht="15.75" customHeight="1">
      <c r="A514" s="7" t="s">
        <v>190</v>
      </c>
      <c r="B514" s="7" t="s">
        <v>160</v>
      </c>
      <c r="C514" s="7" t="s">
        <v>260</v>
      </c>
      <c r="D514" s="13">
        <v>17778.0</v>
      </c>
      <c r="E514" s="7" t="s">
        <v>193</v>
      </c>
      <c r="F514" s="13"/>
      <c r="G514" s="14" t="s">
        <v>63</v>
      </c>
      <c r="H514" s="7" t="s">
        <v>261</v>
      </c>
      <c r="I514" s="7" t="s">
        <v>262</v>
      </c>
      <c r="J514" s="7" t="s">
        <v>70</v>
      </c>
      <c r="K514" s="15">
        <v>43665.0</v>
      </c>
      <c r="L514" s="15">
        <v>33281.0</v>
      </c>
      <c r="M514" s="13">
        <v>15851.0</v>
      </c>
      <c r="N514" s="7"/>
      <c r="O514" s="7"/>
      <c r="P514" s="7">
        <v>13.33</v>
      </c>
      <c r="Q514" s="7"/>
      <c r="R514" s="20"/>
      <c r="S514" s="7"/>
      <c r="T514" s="20"/>
      <c r="U514" s="16">
        <f>SUM(Template!$N514:$O514)*Template!$P514+Template!$Q514</f>
        <v>0</v>
      </c>
      <c r="V514" s="17" t="str">
        <f>IF(Template!$M514="CONSELHO","N",IF(Template!$AA514="N","N1",IF(Template!$AA514="N1","N2",IF(Template!$AA514="N2","N3",IF(Template!$AA514="N3","N4",IF(Template!$AA514="N4","N5",IF(Template!$AA514="N5","N6",IF(Template!$AA514="N6","N7",IF(Template!$AA514="N7","N8",IF(Template!$AA514="N8","N9",IF(Template!$AA514="N9","N10","NA")))))))))))</f>
        <v>N4</v>
      </c>
      <c r="W514" s="17">
        <f>COUNTIF(Template!$M$3:$M$619,Template!$D514)</f>
        <v>0</v>
      </c>
      <c r="X514" s="17" t="str">
        <f>IF(Template!$F514="","",SUMIF(Template!$M$3:$M$619,Template!$D514,Template!$AC$3:$AC$619))</f>
        <v/>
      </c>
      <c r="Y514" s="17" t="str">
        <f>IFERROR(VLOOKUP(Template!$M514,Template!$D$3:$G$619,MATCH("EmployeeJobTitle",Template!$D$2:$G$2,0),FALSE),"NA")</f>
        <v>GERENTE DE LOJA</v>
      </c>
      <c r="Z514" s="17" t="str">
        <f>IFERROR(VLOOKUP(Template!$M514,Template!$D$3:$G$619,MATCH("EmployeeGroup",Template!$D$2:$G$2,0),FALSE),"NA")</f>
        <v>GERENTE</v>
      </c>
      <c r="AA514" s="17" t="str">
        <f>IFERROR(VLOOKUP(Template!$M514,Template!$D$3:$V$619,MATCH("Layer",Template!$D$2:$V$2,0),FALSE),"NA")</f>
        <v>N3</v>
      </c>
      <c r="AB514" s="21">
        <f>VLOOKUP(Template!$M514,Template!$D$3:$F$619,MATCH("InternalGrade",Template!$D$2:$F$2,0),FALSE)-Template!$F514</f>
        <v>0</v>
      </c>
      <c r="AC514" s="17">
        <f>IF(Template!$AB514&lt;=1, 0.8,IF(Template!$AB514=2,0.4,IF(Template!$AB514=3,0.2,IF(Template!$AB514=4,0.1,IF(Template!$AB514&gt;=5,0.05,"erro")))))</f>
        <v>0.8</v>
      </c>
      <c r="AD514" s="17" t="b">
        <f>Template!$D514=Template!$M514</f>
        <v>0</v>
      </c>
      <c r="AE514" s="12" t="s">
        <v>58</v>
      </c>
    </row>
    <row r="515" ht="15.75" customHeight="1">
      <c r="A515" s="7" t="s">
        <v>190</v>
      </c>
      <c r="B515" s="7" t="s">
        <v>160</v>
      </c>
      <c r="C515" s="7" t="s">
        <v>260</v>
      </c>
      <c r="D515" s="13">
        <v>25202.0</v>
      </c>
      <c r="E515" s="7" t="s">
        <v>193</v>
      </c>
      <c r="F515" s="13"/>
      <c r="G515" s="14" t="s">
        <v>63</v>
      </c>
      <c r="H515" s="7" t="s">
        <v>261</v>
      </c>
      <c r="I515" s="7" t="s">
        <v>262</v>
      </c>
      <c r="J515" s="7" t="s">
        <v>70</v>
      </c>
      <c r="K515" s="15">
        <v>45488.0</v>
      </c>
      <c r="L515" s="15">
        <v>29853.0</v>
      </c>
      <c r="M515" s="13">
        <v>15851.0</v>
      </c>
      <c r="N515" s="7"/>
      <c r="O515" s="7"/>
      <c r="P515" s="7">
        <v>13.33</v>
      </c>
      <c r="Q515" s="7"/>
      <c r="R515" s="20"/>
      <c r="S515" s="7"/>
      <c r="T515" s="20"/>
      <c r="U515" s="16">
        <f>SUM(Template!$N515:$O515)*Template!$P515+Template!$Q515</f>
        <v>0</v>
      </c>
      <c r="V515" s="17" t="str">
        <f>IF(Template!$M515="CONSELHO","N",IF(Template!$AA515="N","N1",IF(Template!$AA515="N1","N2",IF(Template!$AA515="N2","N3",IF(Template!$AA515="N3","N4",IF(Template!$AA515="N4","N5",IF(Template!$AA515="N5","N6",IF(Template!$AA515="N6","N7",IF(Template!$AA515="N7","N8",IF(Template!$AA515="N8","N9",IF(Template!$AA515="N9","N10","NA")))))))))))</f>
        <v>N4</v>
      </c>
      <c r="W515" s="17">
        <f>COUNTIF(Template!$M$3:$M$619,Template!$D515)</f>
        <v>0</v>
      </c>
      <c r="X515" s="17" t="str">
        <f>IF(Template!$F515="","",SUMIF(Template!$M$3:$M$619,Template!$D515,Template!$AC$3:$AC$619))</f>
        <v/>
      </c>
      <c r="Y515" s="17" t="str">
        <f>IFERROR(VLOOKUP(Template!$M515,Template!$D$3:$G$619,MATCH("EmployeeJobTitle",Template!$D$2:$G$2,0),FALSE),"NA")</f>
        <v>GERENTE DE LOJA</v>
      </c>
      <c r="Z515" s="17" t="str">
        <f>IFERROR(VLOOKUP(Template!$M515,Template!$D$3:$G$619,MATCH("EmployeeGroup",Template!$D$2:$G$2,0),FALSE),"NA")</f>
        <v>GERENTE</v>
      </c>
      <c r="AA515" s="17" t="str">
        <f>IFERROR(VLOOKUP(Template!$M515,Template!$D$3:$V$619,MATCH("Layer",Template!$D$2:$V$2,0),FALSE),"NA")</f>
        <v>N3</v>
      </c>
      <c r="AB515" s="21">
        <f>VLOOKUP(Template!$M515,Template!$D$3:$F$619,MATCH("InternalGrade",Template!$D$2:$F$2,0),FALSE)-Template!$F515</f>
        <v>0</v>
      </c>
      <c r="AC515" s="17">
        <f>IF(Template!$AB515&lt;=1, 0.8,IF(Template!$AB515=2,0.4,IF(Template!$AB515=3,0.2,IF(Template!$AB515=4,0.1,IF(Template!$AB515&gt;=5,0.05,"erro")))))</f>
        <v>0.8</v>
      </c>
      <c r="AD515" s="17" t="b">
        <f>Template!$D515=Template!$M515</f>
        <v>0</v>
      </c>
      <c r="AE515" s="12" t="s">
        <v>58</v>
      </c>
    </row>
    <row r="516" ht="15.75" customHeight="1">
      <c r="A516" s="7" t="s">
        <v>190</v>
      </c>
      <c r="B516" s="7" t="s">
        <v>191</v>
      </c>
      <c r="C516" s="7" t="s">
        <v>263</v>
      </c>
      <c r="D516" s="13">
        <v>20508.0</v>
      </c>
      <c r="E516" s="7" t="s">
        <v>196</v>
      </c>
      <c r="F516" s="13"/>
      <c r="G516" s="14" t="s">
        <v>63</v>
      </c>
      <c r="H516" s="7" t="s">
        <v>194</v>
      </c>
      <c r="I516" s="7" t="s">
        <v>195</v>
      </c>
      <c r="J516" s="7" t="s">
        <v>70</v>
      </c>
      <c r="K516" s="15">
        <v>44676.0</v>
      </c>
      <c r="L516" s="15">
        <v>31307.0</v>
      </c>
      <c r="M516" s="13">
        <v>16816.0</v>
      </c>
      <c r="N516" s="7">
        <v>1780.0</v>
      </c>
      <c r="O516" s="7"/>
      <c r="P516" s="7">
        <v>13.33</v>
      </c>
      <c r="Q516" s="7"/>
      <c r="R516" s="20"/>
      <c r="S516" s="7"/>
      <c r="T516" s="20"/>
      <c r="U516" s="16">
        <f>SUM(Template!$N516:$O516)*Template!$P516+Template!$Q516</f>
        <v>23727.4</v>
      </c>
      <c r="V516" s="17" t="str">
        <f>IF(Template!$M516="CONSELHO","N",IF(Template!$AA516="N","N1",IF(Template!$AA516="N1","N2",IF(Template!$AA516="N2","N3",IF(Template!$AA516="N3","N4",IF(Template!$AA516="N4","N5",IF(Template!$AA516="N5","N6",IF(Template!$AA516="N6","N7",IF(Template!$AA516="N7","N8",IF(Template!$AA516="N8","N9",IF(Template!$AA516="N9","N10","NA")))))))))))</f>
        <v>N4</v>
      </c>
      <c r="W516" s="17">
        <f>COUNTIF(Template!$M$3:$M$619,Template!$D516)</f>
        <v>0</v>
      </c>
      <c r="X516" s="17" t="str">
        <f>IF(Template!$F516="","",SUMIF(Template!$M$3:$M$619,Template!$D516,Template!$AC$3:$AC$619))</f>
        <v/>
      </c>
      <c r="Y516" s="17" t="str">
        <f>IFERROR(VLOOKUP(Template!$M516,Template!$D$3:$G$619,MATCH("EmployeeJobTitle",Template!$D$2:$G$2,0),FALSE),"NA")</f>
        <v>GERENTE DE LOJA</v>
      </c>
      <c r="Z516" s="17" t="str">
        <f>IFERROR(VLOOKUP(Template!$M516,Template!$D$3:$G$619,MATCH("EmployeeGroup",Template!$D$2:$G$2,0),FALSE),"NA")</f>
        <v>GERENTE</v>
      </c>
      <c r="AA516" s="17" t="str">
        <f>IFERROR(VLOOKUP(Template!$M516,Template!$D$3:$V$619,MATCH("Layer",Template!$D$2:$V$2,0),FALSE),"NA")</f>
        <v>N3</v>
      </c>
      <c r="AB516" s="21">
        <f>VLOOKUP(Template!$M516,Template!$D$3:$F$619,MATCH("InternalGrade",Template!$D$2:$F$2,0),FALSE)-Template!$F516</f>
        <v>0</v>
      </c>
      <c r="AC516" s="17">
        <f>IF(Template!$AB516&lt;=1, 0.8,IF(Template!$AB516=2,0.4,IF(Template!$AB516=3,0.2,IF(Template!$AB516=4,0.1,IF(Template!$AB516&gt;=5,0.05,"erro")))))</f>
        <v>0.8</v>
      </c>
      <c r="AD516" s="17" t="b">
        <f>Template!$D516=Template!$M516</f>
        <v>0</v>
      </c>
      <c r="AE516" s="12" t="s">
        <v>58</v>
      </c>
    </row>
    <row r="517" ht="15.75" customHeight="1">
      <c r="A517" s="7" t="s">
        <v>190</v>
      </c>
      <c r="B517" s="7" t="s">
        <v>191</v>
      </c>
      <c r="C517" s="7" t="s">
        <v>263</v>
      </c>
      <c r="D517" s="13">
        <v>16816.0</v>
      </c>
      <c r="E517" s="7" t="s">
        <v>199</v>
      </c>
      <c r="F517" s="13"/>
      <c r="G517" s="22" t="s">
        <v>200</v>
      </c>
      <c r="H517" s="7" t="s">
        <v>194</v>
      </c>
      <c r="I517" s="7" t="s">
        <v>195</v>
      </c>
      <c r="J517" s="7" t="s">
        <v>70</v>
      </c>
      <c r="K517" s="15">
        <v>43222.0</v>
      </c>
      <c r="L517" s="15">
        <v>30747.0</v>
      </c>
      <c r="M517" s="13">
        <v>23256.0</v>
      </c>
      <c r="N517" s="7">
        <v>5837.0</v>
      </c>
      <c r="O517" s="7"/>
      <c r="P517" s="7">
        <v>13.33</v>
      </c>
      <c r="Q517" s="7"/>
      <c r="R517" s="20"/>
      <c r="S517" s="7"/>
      <c r="T517" s="20"/>
      <c r="U517" s="16">
        <f>SUM(Template!$N517:$O517)*Template!$P517+Template!$Q517</f>
        <v>77807.21</v>
      </c>
      <c r="V517" s="17" t="str">
        <f>IF(Template!$M517="CONSELHO","N",IF(Template!$AA517="N","N1",IF(Template!$AA517="N1","N2",IF(Template!$AA517="N2","N3",IF(Template!$AA517="N3","N4",IF(Template!$AA517="N4","N5",IF(Template!$AA517="N5","N6",IF(Template!$AA517="N6","N7",IF(Template!$AA517="N7","N8",IF(Template!$AA517="N8","N9",IF(Template!$AA517="N9","N10","NA")))))))))))</f>
        <v>N3</v>
      </c>
      <c r="W517" s="17">
        <f>COUNTIF(Template!$M$3:$M$619,Template!$D517)</f>
        <v>10</v>
      </c>
      <c r="X517" s="17" t="str">
        <f>IF(Template!$F517="","",SUMIF(Template!$M$3:$M$619,Template!$D517,Template!$AC$3:$AC$619))</f>
        <v/>
      </c>
      <c r="Y517" s="17" t="str">
        <f>IFERROR(VLOOKUP(Template!$M517,Template!$D$3:$G$619,MATCH("EmployeeJobTitle",Template!$D$2:$G$2,0),FALSE),"NA")</f>
        <v>GERENTE COMERCIAL</v>
      </c>
      <c r="Z517" s="17" t="str">
        <f>IFERROR(VLOOKUP(Template!$M517,Template!$D$3:$G$619,MATCH("EmployeeGroup",Template!$D$2:$G$2,0),FALSE),"NA")</f>
        <v>Coordenador</v>
      </c>
      <c r="AA517" s="17" t="str">
        <f>IFERROR(VLOOKUP(Template!$M517,Template!$D$3:$V$619,MATCH("Layer",Template!$D$2:$V$2,0),FALSE),"NA")</f>
        <v>N2</v>
      </c>
      <c r="AB517" s="21">
        <f>VLOOKUP(Template!$M517,Template!$D$3:$F$619,MATCH("InternalGrade",Template!$D$2:$F$2,0),FALSE)-Template!$F517</f>
        <v>19</v>
      </c>
      <c r="AC517" s="17">
        <f>IF(Template!$AB517&lt;=1, 0.8,IF(Template!$AB517=2,0.4,IF(Template!$AB517=3,0.2,IF(Template!$AB517=4,0.1,IF(Template!$AB517&gt;=5,0.05,"erro")))))</f>
        <v>0.05</v>
      </c>
      <c r="AD517" s="17" t="b">
        <f>Template!$D517=Template!$M517</f>
        <v>0</v>
      </c>
      <c r="AE517" s="12" t="s">
        <v>58</v>
      </c>
    </row>
    <row r="518" ht="15.75" customHeight="1">
      <c r="A518" s="7" t="s">
        <v>190</v>
      </c>
      <c r="B518" s="7" t="s">
        <v>191</v>
      </c>
      <c r="C518" s="7" t="s">
        <v>263</v>
      </c>
      <c r="D518" s="13">
        <v>25443.0</v>
      </c>
      <c r="E518" s="7" t="s">
        <v>193</v>
      </c>
      <c r="F518" s="13"/>
      <c r="G518" s="14" t="s">
        <v>63</v>
      </c>
      <c r="H518" s="7" t="s">
        <v>194</v>
      </c>
      <c r="I518" s="7" t="s">
        <v>195</v>
      </c>
      <c r="J518" s="7" t="s">
        <v>70</v>
      </c>
      <c r="K518" s="15">
        <v>45579.0</v>
      </c>
      <c r="L518" s="15">
        <v>35097.0</v>
      </c>
      <c r="M518" s="13">
        <v>16816.0</v>
      </c>
      <c r="N518" s="7"/>
      <c r="O518" s="7"/>
      <c r="P518" s="7">
        <v>13.33</v>
      </c>
      <c r="Q518" s="7"/>
      <c r="R518" s="20"/>
      <c r="S518" s="7"/>
      <c r="T518" s="20"/>
      <c r="U518" s="16">
        <f>SUM(Template!$N518:$O518)*Template!$P518+Template!$Q518</f>
        <v>0</v>
      </c>
      <c r="V518" s="17" t="str">
        <f>IF(Template!$M518="CONSELHO","N",IF(Template!$AA518="N","N1",IF(Template!$AA518="N1","N2",IF(Template!$AA518="N2","N3",IF(Template!$AA518="N3","N4",IF(Template!$AA518="N4","N5",IF(Template!$AA518="N5","N6",IF(Template!$AA518="N6","N7",IF(Template!$AA518="N7","N8",IF(Template!$AA518="N8","N9",IF(Template!$AA518="N9","N10","NA")))))))))))</f>
        <v>N4</v>
      </c>
      <c r="W518" s="17">
        <f>COUNTIF(Template!$M$3:$M$619,Template!$D518)</f>
        <v>0</v>
      </c>
      <c r="X518" s="17" t="str">
        <f>IF(Template!$F518="","",SUMIF(Template!$M$3:$M$619,Template!$D518,Template!$AC$3:$AC$619))</f>
        <v/>
      </c>
      <c r="Y518" s="17" t="str">
        <f>IFERROR(VLOOKUP(Template!$M518,Template!$D$3:$G$619,MATCH("EmployeeJobTitle",Template!$D$2:$G$2,0),FALSE),"NA")</f>
        <v>GERENTE DE LOJA</v>
      </c>
      <c r="Z518" s="17" t="str">
        <f>IFERROR(VLOOKUP(Template!$M518,Template!$D$3:$G$619,MATCH("EmployeeGroup",Template!$D$2:$G$2,0),FALSE),"NA")</f>
        <v>GERENTE</v>
      </c>
      <c r="AA518" s="17" t="str">
        <f>IFERROR(VLOOKUP(Template!$M518,Template!$D$3:$V$619,MATCH("Layer",Template!$D$2:$V$2,0),FALSE),"NA")</f>
        <v>N3</v>
      </c>
      <c r="AB518" s="21">
        <f>VLOOKUP(Template!$M518,Template!$D$3:$F$619,MATCH("InternalGrade",Template!$D$2:$F$2,0),FALSE)-Template!$F518</f>
        <v>0</v>
      </c>
      <c r="AC518" s="17">
        <f>IF(Template!$AB518&lt;=1, 0.8,IF(Template!$AB518=2,0.4,IF(Template!$AB518=3,0.2,IF(Template!$AB518=4,0.1,IF(Template!$AB518&gt;=5,0.05,"erro")))))</f>
        <v>0.8</v>
      </c>
      <c r="AD518" s="17" t="b">
        <f>Template!$D518=Template!$M518</f>
        <v>0</v>
      </c>
      <c r="AE518" s="12" t="s">
        <v>58</v>
      </c>
    </row>
    <row r="519" ht="15.75" customHeight="1">
      <c r="A519" s="7" t="s">
        <v>190</v>
      </c>
      <c r="B519" s="7" t="s">
        <v>191</v>
      </c>
      <c r="C519" s="7" t="s">
        <v>263</v>
      </c>
      <c r="D519" s="13">
        <v>18220.0</v>
      </c>
      <c r="E519" s="7" t="s">
        <v>204</v>
      </c>
      <c r="F519" s="13"/>
      <c r="G519" s="14" t="s">
        <v>63</v>
      </c>
      <c r="H519" s="7" t="s">
        <v>194</v>
      </c>
      <c r="I519" s="7" t="s">
        <v>195</v>
      </c>
      <c r="J519" s="7" t="s">
        <v>70</v>
      </c>
      <c r="K519" s="15">
        <v>43801.0</v>
      </c>
      <c r="L519" s="15">
        <v>30883.0</v>
      </c>
      <c r="M519" s="13">
        <v>16816.0</v>
      </c>
      <c r="N519" s="7"/>
      <c r="O519" s="7"/>
      <c r="P519" s="7">
        <v>13.33</v>
      </c>
      <c r="Q519" s="7"/>
      <c r="R519" s="20"/>
      <c r="S519" s="7"/>
      <c r="T519" s="20"/>
      <c r="U519" s="16">
        <f>SUM(Template!$N519:$O519)*Template!$P519+Template!$Q519</f>
        <v>0</v>
      </c>
      <c r="V519" s="17" t="str">
        <f>IF(Template!$M519="CONSELHO","N",IF(Template!$AA519="N","N1",IF(Template!$AA519="N1","N2",IF(Template!$AA519="N2","N3",IF(Template!$AA519="N3","N4",IF(Template!$AA519="N4","N5",IF(Template!$AA519="N5","N6",IF(Template!$AA519="N6","N7",IF(Template!$AA519="N7","N8",IF(Template!$AA519="N8","N9",IF(Template!$AA519="N9","N10","NA")))))))))))</f>
        <v>N4</v>
      </c>
      <c r="W519" s="17">
        <f>COUNTIF(Template!$M$3:$M$619,Template!$D519)</f>
        <v>0</v>
      </c>
      <c r="X519" s="17" t="str">
        <f>IF(Template!$F519="","",SUMIF(Template!$M$3:$M$619,Template!$D519,Template!$AC$3:$AC$619))</f>
        <v/>
      </c>
      <c r="Y519" s="17" t="str">
        <f>IFERROR(VLOOKUP(Template!$M519,Template!$D$3:$G$619,MATCH("EmployeeJobTitle",Template!$D$2:$G$2,0),FALSE),"NA")</f>
        <v>GERENTE DE LOJA</v>
      </c>
      <c r="Z519" s="17" t="str">
        <f>IFERROR(VLOOKUP(Template!$M519,Template!$D$3:$G$619,MATCH("EmployeeGroup",Template!$D$2:$G$2,0),FALSE),"NA")</f>
        <v>GERENTE</v>
      </c>
      <c r="AA519" s="17" t="str">
        <f>IFERROR(VLOOKUP(Template!$M519,Template!$D$3:$V$619,MATCH("Layer",Template!$D$2:$V$2,0),FALSE),"NA")</f>
        <v>N3</v>
      </c>
      <c r="AB519" s="21">
        <f>VLOOKUP(Template!$M519,Template!$D$3:$F$619,MATCH("InternalGrade",Template!$D$2:$F$2,0),FALSE)-Template!$F519</f>
        <v>0</v>
      </c>
      <c r="AC519" s="17">
        <f>IF(Template!$AB519&lt;=1, 0.8,IF(Template!$AB519=2,0.4,IF(Template!$AB519=3,0.2,IF(Template!$AB519=4,0.1,IF(Template!$AB519&gt;=5,0.05,"erro")))))</f>
        <v>0.8</v>
      </c>
      <c r="AD519" s="17" t="b">
        <f>Template!$D519=Template!$M519</f>
        <v>0</v>
      </c>
      <c r="AE519" s="12" t="s">
        <v>58</v>
      </c>
    </row>
    <row r="520" ht="15.75" customHeight="1">
      <c r="A520" s="7" t="s">
        <v>190</v>
      </c>
      <c r="B520" s="7" t="s">
        <v>191</v>
      </c>
      <c r="C520" s="7" t="s">
        <v>263</v>
      </c>
      <c r="D520" s="13">
        <v>24395.0</v>
      </c>
      <c r="E520" s="7" t="s">
        <v>193</v>
      </c>
      <c r="F520" s="13"/>
      <c r="G520" s="14" t="s">
        <v>63</v>
      </c>
      <c r="H520" s="7" t="s">
        <v>194</v>
      </c>
      <c r="I520" s="7" t="s">
        <v>195</v>
      </c>
      <c r="J520" s="7" t="s">
        <v>70</v>
      </c>
      <c r="K520" s="15">
        <v>45219.0</v>
      </c>
      <c r="L520" s="15">
        <v>32446.0</v>
      </c>
      <c r="M520" s="13">
        <v>16816.0</v>
      </c>
      <c r="N520" s="7"/>
      <c r="O520" s="7"/>
      <c r="P520" s="7">
        <v>13.33</v>
      </c>
      <c r="Q520" s="7"/>
      <c r="R520" s="20"/>
      <c r="S520" s="7"/>
      <c r="T520" s="20"/>
      <c r="U520" s="16">
        <f>SUM(Template!$N520:$O520)*Template!$P520+Template!$Q520</f>
        <v>0</v>
      </c>
      <c r="V520" s="17" t="str">
        <f>IF(Template!$M520="CONSELHO","N",IF(Template!$AA520="N","N1",IF(Template!$AA520="N1","N2",IF(Template!$AA520="N2","N3",IF(Template!$AA520="N3","N4",IF(Template!$AA520="N4","N5",IF(Template!$AA520="N5","N6",IF(Template!$AA520="N6","N7",IF(Template!$AA520="N7","N8",IF(Template!$AA520="N8","N9",IF(Template!$AA520="N9","N10","NA")))))))))))</f>
        <v>N4</v>
      </c>
      <c r="W520" s="17">
        <f>COUNTIF(Template!$M$3:$M$619,Template!$D520)</f>
        <v>0</v>
      </c>
      <c r="X520" s="17" t="str">
        <f>IF(Template!$F520="","",SUMIF(Template!$M$3:$M$619,Template!$D520,Template!$AC$3:$AC$619))</f>
        <v/>
      </c>
      <c r="Y520" s="17" t="str">
        <f>IFERROR(VLOOKUP(Template!$M520,Template!$D$3:$G$619,MATCH("EmployeeJobTitle",Template!$D$2:$G$2,0),FALSE),"NA")</f>
        <v>GERENTE DE LOJA</v>
      </c>
      <c r="Z520" s="17" t="str">
        <f>IFERROR(VLOOKUP(Template!$M520,Template!$D$3:$G$619,MATCH("EmployeeGroup",Template!$D$2:$G$2,0),FALSE),"NA")</f>
        <v>GERENTE</v>
      </c>
      <c r="AA520" s="17" t="str">
        <f>IFERROR(VLOOKUP(Template!$M520,Template!$D$3:$V$619,MATCH("Layer",Template!$D$2:$V$2,0),FALSE),"NA")</f>
        <v>N3</v>
      </c>
      <c r="AB520" s="21">
        <f>VLOOKUP(Template!$M520,Template!$D$3:$F$619,MATCH("InternalGrade",Template!$D$2:$F$2,0),FALSE)-Template!$F520</f>
        <v>0</v>
      </c>
      <c r="AC520" s="17">
        <f>IF(Template!$AB520&lt;=1, 0.8,IF(Template!$AB520=2,0.4,IF(Template!$AB520=3,0.2,IF(Template!$AB520=4,0.1,IF(Template!$AB520&gt;=5,0.05,"erro")))))</f>
        <v>0.8</v>
      </c>
      <c r="AD520" s="17" t="b">
        <f>Template!$D520=Template!$M520</f>
        <v>0</v>
      </c>
      <c r="AE520" s="12" t="s">
        <v>58</v>
      </c>
    </row>
    <row r="521" ht="15.75" customHeight="1">
      <c r="A521" s="7" t="s">
        <v>190</v>
      </c>
      <c r="B521" s="7" t="s">
        <v>191</v>
      </c>
      <c r="C521" s="7" t="s">
        <v>263</v>
      </c>
      <c r="D521" s="13">
        <v>25447.0</v>
      </c>
      <c r="E521" s="7" t="s">
        <v>213</v>
      </c>
      <c r="F521" s="13"/>
      <c r="G521" s="14" t="s">
        <v>63</v>
      </c>
      <c r="H521" s="7" t="s">
        <v>194</v>
      </c>
      <c r="I521" s="7" t="s">
        <v>195</v>
      </c>
      <c r="J521" s="7" t="s">
        <v>70</v>
      </c>
      <c r="K521" s="15">
        <v>45579.0</v>
      </c>
      <c r="L521" s="15">
        <v>37112.0</v>
      </c>
      <c r="M521" s="13">
        <v>16816.0</v>
      </c>
      <c r="N521" s="7">
        <v>1504.0</v>
      </c>
      <c r="O521" s="7"/>
      <c r="P521" s="7">
        <v>13.33</v>
      </c>
      <c r="Q521" s="7"/>
      <c r="R521" s="20"/>
      <c r="S521" s="7"/>
      <c r="T521" s="20"/>
      <c r="U521" s="16">
        <f>SUM(Template!$N521:$O521)*Template!$P521+Template!$Q521</f>
        <v>20048.32</v>
      </c>
      <c r="V521" s="17" t="str">
        <f>IF(Template!$M521="CONSELHO","N",IF(Template!$AA521="N","N1",IF(Template!$AA521="N1","N2",IF(Template!$AA521="N2","N3",IF(Template!$AA521="N3","N4",IF(Template!$AA521="N4","N5",IF(Template!$AA521="N5","N6",IF(Template!$AA521="N6","N7",IF(Template!$AA521="N7","N8",IF(Template!$AA521="N8","N9",IF(Template!$AA521="N9","N10","NA")))))))))))</f>
        <v>N4</v>
      </c>
      <c r="W521" s="17">
        <f>COUNTIF(Template!$M$3:$M$619,Template!$D521)</f>
        <v>0</v>
      </c>
      <c r="X521" s="17" t="str">
        <f>IF(Template!$F521="","",SUMIF(Template!$M$3:$M$619,Template!$D521,Template!$AC$3:$AC$619))</f>
        <v/>
      </c>
      <c r="Y521" s="17" t="str">
        <f>IFERROR(VLOOKUP(Template!$M521,Template!$D$3:$G$619,MATCH("EmployeeJobTitle",Template!$D$2:$G$2,0),FALSE),"NA")</f>
        <v>GERENTE DE LOJA</v>
      </c>
      <c r="Z521" s="17" t="str">
        <f>IFERROR(VLOOKUP(Template!$M521,Template!$D$3:$G$619,MATCH("EmployeeGroup",Template!$D$2:$G$2,0),FALSE),"NA")</f>
        <v>GERENTE</v>
      </c>
      <c r="AA521" s="17" t="str">
        <f>IFERROR(VLOOKUP(Template!$M521,Template!$D$3:$V$619,MATCH("Layer",Template!$D$2:$V$2,0),FALSE),"NA")</f>
        <v>N3</v>
      </c>
      <c r="AB521" s="21">
        <f>VLOOKUP(Template!$M521,Template!$D$3:$F$619,MATCH("InternalGrade",Template!$D$2:$F$2,0),FALSE)-Template!$F521</f>
        <v>0</v>
      </c>
      <c r="AC521" s="17">
        <f>IF(Template!$AB521&lt;=1, 0.8,IF(Template!$AB521=2,0.4,IF(Template!$AB521=3,0.2,IF(Template!$AB521=4,0.1,IF(Template!$AB521&gt;=5,0.05,"erro")))))</f>
        <v>0.8</v>
      </c>
      <c r="AD521" s="17" t="b">
        <f>Template!$D521=Template!$M521</f>
        <v>0</v>
      </c>
      <c r="AE521" s="12" t="s">
        <v>58</v>
      </c>
    </row>
    <row r="522" ht="15.75" customHeight="1">
      <c r="A522" s="7" t="s">
        <v>190</v>
      </c>
      <c r="B522" s="7" t="s">
        <v>191</v>
      </c>
      <c r="C522" s="7" t="s">
        <v>263</v>
      </c>
      <c r="D522" s="13">
        <v>21092.0</v>
      </c>
      <c r="E522" s="7" t="s">
        <v>193</v>
      </c>
      <c r="F522" s="13"/>
      <c r="G522" s="14" t="s">
        <v>63</v>
      </c>
      <c r="H522" s="7" t="s">
        <v>194</v>
      </c>
      <c r="I522" s="7" t="s">
        <v>195</v>
      </c>
      <c r="J522" s="7" t="s">
        <v>70</v>
      </c>
      <c r="K522" s="15">
        <v>44760.0</v>
      </c>
      <c r="L522" s="15">
        <v>29486.0</v>
      </c>
      <c r="M522" s="13">
        <v>16816.0</v>
      </c>
      <c r="N522" s="7"/>
      <c r="O522" s="7"/>
      <c r="P522" s="7">
        <v>13.33</v>
      </c>
      <c r="Q522" s="7"/>
      <c r="R522" s="20"/>
      <c r="S522" s="7"/>
      <c r="T522" s="20"/>
      <c r="U522" s="16">
        <f>SUM(Template!$N522:$O522)*Template!$P522+Template!$Q522</f>
        <v>0</v>
      </c>
      <c r="V522" s="17" t="str">
        <f>IF(Template!$M522="CONSELHO","N",IF(Template!$AA522="N","N1",IF(Template!$AA522="N1","N2",IF(Template!$AA522="N2","N3",IF(Template!$AA522="N3","N4",IF(Template!$AA522="N4","N5",IF(Template!$AA522="N5","N6",IF(Template!$AA522="N6","N7",IF(Template!$AA522="N7","N8",IF(Template!$AA522="N8","N9",IF(Template!$AA522="N9","N10","NA")))))))))))</f>
        <v>N4</v>
      </c>
      <c r="W522" s="17">
        <f>COUNTIF(Template!$M$3:$M$619,Template!$D522)</f>
        <v>0</v>
      </c>
      <c r="X522" s="17" t="str">
        <f>IF(Template!$F522="","",SUMIF(Template!$M$3:$M$619,Template!$D522,Template!$AC$3:$AC$619))</f>
        <v/>
      </c>
      <c r="Y522" s="17" t="str">
        <f>IFERROR(VLOOKUP(Template!$M522,Template!$D$3:$G$619,MATCH("EmployeeJobTitle",Template!$D$2:$G$2,0),FALSE),"NA")</f>
        <v>GERENTE DE LOJA</v>
      </c>
      <c r="Z522" s="17" t="str">
        <f>IFERROR(VLOOKUP(Template!$M522,Template!$D$3:$G$619,MATCH("EmployeeGroup",Template!$D$2:$G$2,0),FALSE),"NA")</f>
        <v>GERENTE</v>
      </c>
      <c r="AA522" s="17" t="str">
        <f>IFERROR(VLOOKUP(Template!$M522,Template!$D$3:$V$619,MATCH("Layer",Template!$D$2:$V$2,0),FALSE),"NA")</f>
        <v>N3</v>
      </c>
      <c r="AB522" s="21">
        <f>VLOOKUP(Template!$M522,Template!$D$3:$F$619,MATCH("InternalGrade",Template!$D$2:$F$2,0),FALSE)-Template!$F522</f>
        <v>0</v>
      </c>
      <c r="AC522" s="17">
        <f>IF(Template!$AB522&lt;=1, 0.8,IF(Template!$AB522=2,0.4,IF(Template!$AB522=3,0.2,IF(Template!$AB522=4,0.1,IF(Template!$AB522&gt;=5,0.05,"erro")))))</f>
        <v>0.8</v>
      </c>
      <c r="AD522" s="17" t="b">
        <f>Template!$D522=Template!$M522</f>
        <v>0</v>
      </c>
      <c r="AE522" s="12" t="s">
        <v>58</v>
      </c>
    </row>
    <row r="523" ht="15.75" customHeight="1">
      <c r="A523" s="7" t="s">
        <v>190</v>
      </c>
      <c r="B523" s="7" t="s">
        <v>191</v>
      </c>
      <c r="C523" s="7" t="s">
        <v>263</v>
      </c>
      <c r="D523" s="13">
        <v>24929.0</v>
      </c>
      <c r="E523" s="7" t="s">
        <v>196</v>
      </c>
      <c r="F523" s="13"/>
      <c r="G523" s="14" t="s">
        <v>63</v>
      </c>
      <c r="H523" s="7" t="s">
        <v>194</v>
      </c>
      <c r="I523" s="7" t="s">
        <v>195</v>
      </c>
      <c r="J523" s="7" t="s">
        <v>70</v>
      </c>
      <c r="K523" s="15">
        <v>45369.0</v>
      </c>
      <c r="L523" s="15">
        <v>33213.0</v>
      </c>
      <c r="M523" s="13">
        <v>16816.0</v>
      </c>
      <c r="N523" s="7">
        <v>1786.0</v>
      </c>
      <c r="O523" s="7"/>
      <c r="P523" s="7">
        <v>13.33</v>
      </c>
      <c r="Q523" s="7"/>
      <c r="R523" s="20"/>
      <c r="S523" s="7"/>
      <c r="T523" s="20"/>
      <c r="U523" s="16">
        <f>SUM(Template!$N523:$O523)*Template!$P523+Template!$Q523</f>
        <v>23807.38</v>
      </c>
      <c r="V523" s="17" t="str">
        <f>IF(Template!$M523="CONSELHO","N",IF(Template!$AA523="N","N1",IF(Template!$AA523="N1","N2",IF(Template!$AA523="N2","N3",IF(Template!$AA523="N3","N4",IF(Template!$AA523="N4","N5",IF(Template!$AA523="N5","N6",IF(Template!$AA523="N6","N7",IF(Template!$AA523="N7","N8",IF(Template!$AA523="N8","N9",IF(Template!$AA523="N9","N10","NA")))))))))))</f>
        <v>N4</v>
      </c>
      <c r="W523" s="17">
        <f>COUNTIF(Template!$M$3:$M$619,Template!$D523)</f>
        <v>0</v>
      </c>
      <c r="X523" s="17" t="str">
        <f>IF(Template!$F523="","",SUMIF(Template!$M$3:$M$619,Template!$D523,Template!$AC$3:$AC$619))</f>
        <v/>
      </c>
      <c r="Y523" s="17" t="str">
        <f>IFERROR(VLOOKUP(Template!$M523,Template!$D$3:$G$619,MATCH("EmployeeJobTitle",Template!$D$2:$G$2,0),FALSE),"NA")</f>
        <v>GERENTE DE LOJA</v>
      </c>
      <c r="Z523" s="17" t="str">
        <f>IFERROR(VLOOKUP(Template!$M523,Template!$D$3:$G$619,MATCH("EmployeeGroup",Template!$D$2:$G$2,0),FALSE),"NA")</f>
        <v>GERENTE</v>
      </c>
      <c r="AA523" s="17" t="str">
        <f>IFERROR(VLOOKUP(Template!$M523,Template!$D$3:$V$619,MATCH("Layer",Template!$D$2:$V$2,0),FALSE),"NA")</f>
        <v>N3</v>
      </c>
      <c r="AB523" s="21">
        <f>VLOOKUP(Template!$M523,Template!$D$3:$F$619,MATCH("InternalGrade",Template!$D$2:$F$2,0),FALSE)-Template!$F523</f>
        <v>0</v>
      </c>
      <c r="AC523" s="17">
        <f>IF(Template!$AB523&lt;=1, 0.8,IF(Template!$AB523=2,0.4,IF(Template!$AB523=3,0.2,IF(Template!$AB523=4,0.1,IF(Template!$AB523&gt;=5,0.05,"erro")))))</f>
        <v>0.8</v>
      </c>
      <c r="AD523" s="17" t="b">
        <f>Template!$D523=Template!$M523</f>
        <v>0</v>
      </c>
      <c r="AE523" s="12" t="s">
        <v>58</v>
      </c>
    </row>
    <row r="524" ht="15.75" customHeight="1">
      <c r="A524" s="7" t="s">
        <v>190</v>
      </c>
      <c r="B524" s="7" t="s">
        <v>191</v>
      </c>
      <c r="C524" s="7" t="s">
        <v>263</v>
      </c>
      <c r="D524" s="13">
        <v>19766.0</v>
      </c>
      <c r="E524" s="7" t="s">
        <v>193</v>
      </c>
      <c r="F524" s="13"/>
      <c r="G524" s="14" t="s">
        <v>63</v>
      </c>
      <c r="H524" s="7" t="s">
        <v>194</v>
      </c>
      <c r="I524" s="7" t="s">
        <v>195</v>
      </c>
      <c r="J524" s="7" t="s">
        <v>70</v>
      </c>
      <c r="K524" s="15">
        <v>44428.0</v>
      </c>
      <c r="L524" s="15">
        <v>30809.0</v>
      </c>
      <c r="M524" s="13">
        <v>16816.0</v>
      </c>
      <c r="N524" s="7"/>
      <c r="O524" s="7"/>
      <c r="P524" s="7">
        <v>13.33</v>
      </c>
      <c r="Q524" s="7"/>
      <c r="R524" s="20"/>
      <c r="S524" s="7"/>
      <c r="T524" s="20"/>
      <c r="U524" s="16">
        <f>SUM(Template!$N524:$O524)*Template!$P524+Template!$Q524</f>
        <v>0</v>
      </c>
      <c r="V524" s="17" t="str">
        <f>IF(Template!$M524="CONSELHO","N",IF(Template!$AA524="N","N1",IF(Template!$AA524="N1","N2",IF(Template!$AA524="N2","N3",IF(Template!$AA524="N3","N4",IF(Template!$AA524="N4","N5",IF(Template!$AA524="N5","N6",IF(Template!$AA524="N6","N7",IF(Template!$AA524="N7","N8",IF(Template!$AA524="N8","N9",IF(Template!$AA524="N9","N10","NA")))))))))))</f>
        <v>N4</v>
      </c>
      <c r="W524" s="17">
        <f>COUNTIF(Template!$M$3:$M$619,Template!$D524)</f>
        <v>0</v>
      </c>
      <c r="X524" s="17" t="str">
        <f>IF(Template!$F524="","",SUMIF(Template!$M$3:$M$619,Template!$D524,Template!$AC$3:$AC$619))</f>
        <v/>
      </c>
      <c r="Y524" s="17" t="str">
        <f>IFERROR(VLOOKUP(Template!$M524,Template!$D$3:$G$619,MATCH("EmployeeJobTitle",Template!$D$2:$G$2,0),FALSE),"NA")</f>
        <v>GERENTE DE LOJA</v>
      </c>
      <c r="Z524" s="17" t="str">
        <f>IFERROR(VLOOKUP(Template!$M524,Template!$D$3:$G$619,MATCH("EmployeeGroup",Template!$D$2:$G$2,0),FALSE),"NA")</f>
        <v>GERENTE</v>
      </c>
      <c r="AA524" s="17" t="str">
        <f>IFERROR(VLOOKUP(Template!$M524,Template!$D$3:$V$619,MATCH("Layer",Template!$D$2:$V$2,0),FALSE),"NA")</f>
        <v>N3</v>
      </c>
      <c r="AB524" s="21">
        <f>VLOOKUP(Template!$M524,Template!$D$3:$F$619,MATCH("InternalGrade",Template!$D$2:$F$2,0),FALSE)-Template!$F524</f>
        <v>0</v>
      </c>
      <c r="AC524" s="17">
        <f>IF(Template!$AB524&lt;=1, 0.8,IF(Template!$AB524=2,0.4,IF(Template!$AB524=3,0.2,IF(Template!$AB524=4,0.1,IF(Template!$AB524&gt;=5,0.05,"erro")))))</f>
        <v>0.8</v>
      </c>
      <c r="AD524" s="17" t="b">
        <f>Template!$D524=Template!$M524</f>
        <v>0</v>
      </c>
      <c r="AE524" s="12" t="s">
        <v>58</v>
      </c>
    </row>
    <row r="525" ht="15.75" customHeight="1">
      <c r="A525" s="7" t="s">
        <v>190</v>
      </c>
      <c r="B525" s="7" t="s">
        <v>191</v>
      </c>
      <c r="C525" s="7" t="s">
        <v>263</v>
      </c>
      <c r="D525" s="13">
        <v>19553.0</v>
      </c>
      <c r="E525" s="7" t="s">
        <v>193</v>
      </c>
      <c r="F525" s="13"/>
      <c r="G525" s="14" t="s">
        <v>63</v>
      </c>
      <c r="H525" s="7" t="s">
        <v>194</v>
      </c>
      <c r="I525" s="7" t="s">
        <v>195</v>
      </c>
      <c r="J525" s="7" t="s">
        <v>70</v>
      </c>
      <c r="K525" s="15">
        <v>44333.0</v>
      </c>
      <c r="L525" s="15">
        <v>32574.0</v>
      </c>
      <c r="M525" s="13">
        <v>16816.0</v>
      </c>
      <c r="N525" s="7"/>
      <c r="O525" s="7"/>
      <c r="P525" s="7">
        <v>13.33</v>
      </c>
      <c r="Q525" s="7"/>
      <c r="R525" s="20"/>
      <c r="S525" s="7"/>
      <c r="T525" s="20"/>
      <c r="U525" s="16">
        <f>SUM(Template!$N525:$O525)*Template!$P525+Template!$Q525</f>
        <v>0</v>
      </c>
      <c r="V525" s="17" t="str">
        <f>IF(Template!$M525="CONSELHO","N",IF(Template!$AA525="N","N1",IF(Template!$AA525="N1","N2",IF(Template!$AA525="N2","N3",IF(Template!$AA525="N3","N4",IF(Template!$AA525="N4","N5",IF(Template!$AA525="N5","N6",IF(Template!$AA525="N6","N7",IF(Template!$AA525="N7","N8",IF(Template!$AA525="N8","N9",IF(Template!$AA525="N9","N10","NA")))))))))))</f>
        <v>N4</v>
      </c>
      <c r="W525" s="17">
        <f>COUNTIF(Template!$M$3:$M$619,Template!$D525)</f>
        <v>0</v>
      </c>
      <c r="X525" s="17" t="str">
        <f>IF(Template!$F525="","",SUMIF(Template!$M$3:$M$619,Template!$D525,Template!$AC$3:$AC$619))</f>
        <v/>
      </c>
      <c r="Y525" s="17" t="str">
        <f>IFERROR(VLOOKUP(Template!$M525,Template!$D$3:$G$619,MATCH("EmployeeJobTitle",Template!$D$2:$G$2,0),FALSE),"NA")</f>
        <v>GERENTE DE LOJA</v>
      </c>
      <c r="Z525" s="17" t="str">
        <f>IFERROR(VLOOKUP(Template!$M525,Template!$D$3:$G$619,MATCH("EmployeeGroup",Template!$D$2:$G$2,0),FALSE),"NA")</f>
        <v>GERENTE</v>
      </c>
      <c r="AA525" s="17" t="str">
        <f>IFERROR(VLOOKUP(Template!$M525,Template!$D$3:$V$619,MATCH("Layer",Template!$D$2:$V$2,0),FALSE),"NA")</f>
        <v>N3</v>
      </c>
      <c r="AB525" s="21">
        <f>VLOOKUP(Template!$M525,Template!$D$3:$F$619,MATCH("InternalGrade",Template!$D$2:$F$2,0),FALSE)-Template!$F525</f>
        <v>0</v>
      </c>
      <c r="AC525" s="17">
        <f>IF(Template!$AB525&lt;=1, 0.8,IF(Template!$AB525=2,0.4,IF(Template!$AB525=3,0.2,IF(Template!$AB525=4,0.1,IF(Template!$AB525&gt;=5,0.05,"erro")))))</f>
        <v>0.8</v>
      </c>
      <c r="AD525" s="17" t="b">
        <f>Template!$D525=Template!$M525</f>
        <v>0</v>
      </c>
      <c r="AE525" s="12" t="s">
        <v>58</v>
      </c>
    </row>
    <row r="526" ht="15.75" customHeight="1">
      <c r="A526" s="7" t="s">
        <v>190</v>
      </c>
      <c r="B526" s="7" t="s">
        <v>191</v>
      </c>
      <c r="C526" s="7" t="s">
        <v>263</v>
      </c>
      <c r="D526" s="13">
        <v>16935.0</v>
      </c>
      <c r="E526" s="7" t="s">
        <v>203</v>
      </c>
      <c r="F526" s="13"/>
      <c r="G526" s="14" t="s">
        <v>63</v>
      </c>
      <c r="H526" s="7" t="s">
        <v>194</v>
      </c>
      <c r="I526" s="7" t="s">
        <v>195</v>
      </c>
      <c r="J526" s="7" t="s">
        <v>70</v>
      </c>
      <c r="K526" s="15">
        <v>43297.0</v>
      </c>
      <c r="L526" s="15">
        <v>32750.0</v>
      </c>
      <c r="M526" s="13">
        <v>16816.0</v>
      </c>
      <c r="N526" s="7"/>
      <c r="O526" s="7"/>
      <c r="P526" s="7">
        <v>13.33</v>
      </c>
      <c r="Q526" s="7"/>
      <c r="R526" s="20"/>
      <c r="S526" s="7"/>
      <c r="T526" s="20"/>
      <c r="U526" s="16">
        <f>SUM(Template!$N526:$O526)*Template!$P526+Template!$Q526</f>
        <v>0</v>
      </c>
      <c r="V526" s="17" t="str">
        <f>IF(Template!$M526="CONSELHO","N",IF(Template!$AA526="N","N1",IF(Template!$AA526="N1","N2",IF(Template!$AA526="N2","N3",IF(Template!$AA526="N3","N4",IF(Template!$AA526="N4","N5",IF(Template!$AA526="N5","N6",IF(Template!$AA526="N6","N7",IF(Template!$AA526="N7","N8",IF(Template!$AA526="N8","N9",IF(Template!$AA526="N9","N10","NA")))))))))))</f>
        <v>N4</v>
      </c>
      <c r="W526" s="17">
        <f>COUNTIF(Template!$M$3:$M$619,Template!$D526)</f>
        <v>0</v>
      </c>
      <c r="X526" s="17" t="str">
        <f>IF(Template!$F526="","",SUMIF(Template!$M$3:$M$619,Template!$D526,Template!$AC$3:$AC$619))</f>
        <v/>
      </c>
      <c r="Y526" s="17" t="str">
        <f>IFERROR(VLOOKUP(Template!$M526,Template!$D$3:$G$619,MATCH("EmployeeJobTitle",Template!$D$2:$G$2,0),FALSE),"NA")</f>
        <v>GERENTE DE LOJA</v>
      </c>
      <c r="Z526" s="17" t="str">
        <f>IFERROR(VLOOKUP(Template!$M526,Template!$D$3:$G$619,MATCH("EmployeeGroup",Template!$D$2:$G$2,0),FALSE),"NA")</f>
        <v>GERENTE</v>
      </c>
      <c r="AA526" s="17" t="str">
        <f>IFERROR(VLOOKUP(Template!$M526,Template!$D$3:$V$619,MATCH("Layer",Template!$D$2:$V$2,0),FALSE),"NA")</f>
        <v>N3</v>
      </c>
      <c r="AB526" s="21">
        <f>VLOOKUP(Template!$M526,Template!$D$3:$F$619,MATCH("InternalGrade",Template!$D$2:$F$2,0),FALSE)-Template!$F526</f>
        <v>0</v>
      </c>
      <c r="AC526" s="17">
        <f>IF(Template!$AB526&lt;=1, 0.8,IF(Template!$AB526=2,0.4,IF(Template!$AB526=3,0.2,IF(Template!$AB526=4,0.1,IF(Template!$AB526&gt;=5,0.05,"erro")))))</f>
        <v>0.8</v>
      </c>
      <c r="AD526" s="17" t="b">
        <f>Template!$D526=Template!$M526</f>
        <v>0</v>
      </c>
      <c r="AE526" s="12" t="s">
        <v>58</v>
      </c>
    </row>
    <row r="527" ht="15.75" customHeight="1">
      <c r="A527" s="7" t="s">
        <v>190</v>
      </c>
      <c r="B527" s="7" t="s">
        <v>160</v>
      </c>
      <c r="C527" s="7" t="s">
        <v>264</v>
      </c>
      <c r="D527" s="13">
        <v>19549.0</v>
      </c>
      <c r="E527" s="7" t="s">
        <v>203</v>
      </c>
      <c r="F527" s="13"/>
      <c r="G527" s="14" t="s">
        <v>63</v>
      </c>
      <c r="H527" s="7" t="s">
        <v>265</v>
      </c>
      <c r="I527" s="7" t="s">
        <v>266</v>
      </c>
      <c r="J527" s="7" t="s">
        <v>70</v>
      </c>
      <c r="K527" s="15">
        <v>44333.0</v>
      </c>
      <c r="L527" s="15">
        <v>31805.0</v>
      </c>
      <c r="M527" s="13">
        <v>18426.0</v>
      </c>
      <c r="N527" s="7">
        <v>1499.0</v>
      </c>
      <c r="O527" s="7"/>
      <c r="P527" s="7">
        <v>13.33</v>
      </c>
      <c r="Q527" s="7"/>
      <c r="R527" s="20"/>
      <c r="S527" s="7"/>
      <c r="T527" s="20"/>
      <c r="U527" s="16">
        <f>SUM(Template!$N527:$O527)*Template!$P527+Template!$Q527</f>
        <v>19981.67</v>
      </c>
      <c r="V527" s="17" t="str">
        <f>IF(Template!$M527="CONSELHO","N",IF(Template!$AA527="N","N1",IF(Template!$AA527="N1","N2",IF(Template!$AA527="N2","N3",IF(Template!$AA527="N3","N4",IF(Template!$AA527="N4","N5",IF(Template!$AA527="N5","N6",IF(Template!$AA527="N6","N7",IF(Template!$AA527="N7","N8",IF(Template!$AA527="N8","N9",IF(Template!$AA527="N9","N10","NA")))))))))))</f>
        <v>N4</v>
      </c>
      <c r="W527" s="17">
        <f>COUNTIF(Template!$M$3:$M$619,Template!$D527)</f>
        <v>0</v>
      </c>
      <c r="X527" s="17" t="str">
        <f>IF(Template!$F527="","",SUMIF(Template!$M$3:$M$619,Template!$D527,Template!$AC$3:$AC$619))</f>
        <v/>
      </c>
      <c r="Y527" s="17" t="str">
        <f>IFERROR(VLOOKUP(Template!$M527,Template!$D$3:$G$619,MATCH("EmployeeJobTitle",Template!$D$2:$G$2,0),FALSE),"NA")</f>
        <v>GERENTE DE LOJA</v>
      </c>
      <c r="Z527" s="17" t="str">
        <f>IFERROR(VLOOKUP(Template!$M527,Template!$D$3:$G$619,MATCH("EmployeeGroup",Template!$D$2:$G$2,0),FALSE),"NA")</f>
        <v>GERENTE</v>
      </c>
      <c r="AA527" s="17" t="str">
        <f>IFERROR(VLOOKUP(Template!$M527,Template!$D$3:$V$619,MATCH("Layer",Template!$D$2:$V$2,0),FALSE),"NA")</f>
        <v>N3</v>
      </c>
      <c r="AB527" s="21">
        <f>VLOOKUP(Template!$M527,Template!$D$3:$F$619,MATCH("InternalGrade",Template!$D$2:$F$2,0),FALSE)-Template!$F527</f>
        <v>0</v>
      </c>
      <c r="AC527" s="17">
        <f>IF(Template!$AB527&lt;=1, 0.8,IF(Template!$AB527=2,0.4,IF(Template!$AB527=3,0.2,IF(Template!$AB527=4,0.1,IF(Template!$AB527&gt;=5,0.05,"erro")))))</f>
        <v>0.8</v>
      </c>
      <c r="AD527" s="17" t="b">
        <f>Template!$D527=Template!$M527</f>
        <v>0</v>
      </c>
      <c r="AE527" s="12" t="s">
        <v>58</v>
      </c>
    </row>
    <row r="528" ht="15.75" customHeight="1">
      <c r="A528" s="7" t="s">
        <v>190</v>
      </c>
      <c r="B528" s="7" t="s">
        <v>160</v>
      </c>
      <c r="C528" s="7" t="s">
        <v>264</v>
      </c>
      <c r="D528" s="13">
        <v>19605.0</v>
      </c>
      <c r="E528" s="7" t="s">
        <v>204</v>
      </c>
      <c r="F528" s="13"/>
      <c r="G528" s="14" t="s">
        <v>63</v>
      </c>
      <c r="H528" s="7" t="s">
        <v>265</v>
      </c>
      <c r="I528" s="7" t="s">
        <v>266</v>
      </c>
      <c r="J528" s="7" t="s">
        <v>70</v>
      </c>
      <c r="K528" s="15">
        <v>44354.0</v>
      </c>
      <c r="L528" s="15">
        <v>33092.0</v>
      </c>
      <c r="M528" s="13">
        <v>18426.0</v>
      </c>
      <c r="N528" s="7">
        <v>1490.0</v>
      </c>
      <c r="O528" s="7"/>
      <c r="P528" s="7">
        <v>13.33</v>
      </c>
      <c r="Q528" s="7"/>
      <c r="R528" s="20"/>
      <c r="S528" s="7"/>
      <c r="T528" s="20"/>
      <c r="U528" s="16">
        <f>SUM(Template!$N528:$O528)*Template!$P528+Template!$Q528</f>
        <v>19861.7</v>
      </c>
      <c r="V528" s="17" t="str">
        <f>IF(Template!$M528="CONSELHO","N",IF(Template!$AA528="N","N1",IF(Template!$AA528="N1","N2",IF(Template!$AA528="N2","N3",IF(Template!$AA528="N3","N4",IF(Template!$AA528="N4","N5",IF(Template!$AA528="N5","N6",IF(Template!$AA528="N6","N7",IF(Template!$AA528="N7","N8",IF(Template!$AA528="N8","N9",IF(Template!$AA528="N9","N10","NA")))))))))))</f>
        <v>N4</v>
      </c>
      <c r="W528" s="17">
        <f>COUNTIF(Template!$M$3:$M$619,Template!$D528)</f>
        <v>0</v>
      </c>
      <c r="X528" s="17" t="str">
        <f>IF(Template!$F528="","",SUMIF(Template!$M$3:$M$619,Template!$D528,Template!$AC$3:$AC$619))</f>
        <v/>
      </c>
      <c r="Y528" s="17" t="str">
        <f>IFERROR(VLOOKUP(Template!$M528,Template!$D$3:$G$619,MATCH("EmployeeJobTitle",Template!$D$2:$G$2,0),FALSE),"NA")</f>
        <v>GERENTE DE LOJA</v>
      </c>
      <c r="Z528" s="17" t="str">
        <f>IFERROR(VLOOKUP(Template!$M528,Template!$D$3:$G$619,MATCH("EmployeeGroup",Template!$D$2:$G$2,0),FALSE),"NA")</f>
        <v>GERENTE</v>
      </c>
      <c r="AA528" s="17" t="str">
        <f>IFERROR(VLOOKUP(Template!$M528,Template!$D$3:$V$619,MATCH("Layer",Template!$D$2:$V$2,0),FALSE),"NA")</f>
        <v>N3</v>
      </c>
      <c r="AB528" s="21">
        <f>VLOOKUP(Template!$M528,Template!$D$3:$F$619,MATCH("InternalGrade",Template!$D$2:$F$2,0),FALSE)-Template!$F528</f>
        <v>0</v>
      </c>
      <c r="AC528" s="17">
        <f>IF(Template!$AB528&lt;=1, 0.8,IF(Template!$AB528=2,0.4,IF(Template!$AB528=3,0.2,IF(Template!$AB528=4,0.1,IF(Template!$AB528&gt;=5,0.05,"erro")))))</f>
        <v>0.8</v>
      </c>
      <c r="AD528" s="17" t="b">
        <f>Template!$D528=Template!$M528</f>
        <v>0</v>
      </c>
      <c r="AE528" s="12" t="s">
        <v>58</v>
      </c>
    </row>
    <row r="529" ht="15.75" customHeight="1">
      <c r="A529" s="7" t="s">
        <v>190</v>
      </c>
      <c r="B529" s="7" t="s">
        <v>160</v>
      </c>
      <c r="C529" s="7" t="s">
        <v>264</v>
      </c>
      <c r="D529" s="13">
        <v>18426.0</v>
      </c>
      <c r="E529" s="7" t="s">
        <v>199</v>
      </c>
      <c r="F529" s="13"/>
      <c r="G529" s="22" t="s">
        <v>200</v>
      </c>
      <c r="H529" s="7" t="s">
        <v>265</v>
      </c>
      <c r="I529" s="7" t="s">
        <v>266</v>
      </c>
      <c r="J529" s="7" t="s">
        <v>70</v>
      </c>
      <c r="K529" s="15">
        <v>43887.0</v>
      </c>
      <c r="L529" s="15">
        <v>30008.0</v>
      </c>
      <c r="M529" s="13">
        <v>12404.0</v>
      </c>
      <c r="N529" s="7">
        <v>5140.0</v>
      </c>
      <c r="O529" s="7"/>
      <c r="P529" s="7">
        <v>13.33</v>
      </c>
      <c r="Q529" s="7"/>
      <c r="R529" s="20"/>
      <c r="S529" s="7"/>
      <c r="T529" s="20"/>
      <c r="U529" s="16">
        <f>SUM(Template!$N529:$O529)*Template!$P529+Template!$Q529</f>
        <v>68516.2</v>
      </c>
      <c r="V529" s="17" t="str">
        <f>IF(Template!$M529="CONSELHO","N",IF(Template!$AA529="N","N1",IF(Template!$AA529="N1","N2",IF(Template!$AA529="N2","N3",IF(Template!$AA529="N3","N4",IF(Template!$AA529="N4","N5",IF(Template!$AA529="N5","N6",IF(Template!$AA529="N6","N7",IF(Template!$AA529="N7","N8",IF(Template!$AA529="N8","N9",IF(Template!$AA529="N9","N10","NA")))))))))))</f>
        <v>N3</v>
      </c>
      <c r="W529" s="17">
        <f>COUNTIF(Template!$M$3:$M$619,Template!$D529)</f>
        <v>9</v>
      </c>
      <c r="X529" s="17" t="str">
        <f>IF(Template!$F529="","",SUMIF(Template!$M$3:$M$619,Template!$D529,Template!$AC$3:$AC$619))</f>
        <v/>
      </c>
      <c r="Y529" s="17" t="str">
        <f>IFERROR(VLOOKUP(Template!$M529,Template!$D$3:$G$619,MATCH("EmployeeJobTitle",Template!$D$2:$G$2,0),FALSE),"NA")</f>
        <v>GERENTE COMERCIAL</v>
      </c>
      <c r="Z529" s="17" t="str">
        <f>IFERROR(VLOOKUP(Template!$M529,Template!$D$3:$G$619,MATCH("EmployeeGroup",Template!$D$2:$G$2,0),FALSE),"NA")</f>
        <v>Coordenador</v>
      </c>
      <c r="AA529" s="17" t="str">
        <f>IFERROR(VLOOKUP(Template!$M529,Template!$D$3:$V$619,MATCH("Layer",Template!$D$2:$V$2,0),FALSE),"NA")</f>
        <v>N2</v>
      </c>
      <c r="AB529" s="21">
        <f>VLOOKUP(Template!$M529,Template!$D$3:$F$619,MATCH("InternalGrade",Template!$D$2:$F$2,0),FALSE)-Template!$F529</f>
        <v>19</v>
      </c>
      <c r="AC529" s="17">
        <f>IF(Template!$AB529&lt;=1, 0.8,IF(Template!$AB529=2,0.4,IF(Template!$AB529=3,0.2,IF(Template!$AB529=4,0.1,IF(Template!$AB529&gt;=5,0.05,"erro")))))</f>
        <v>0.05</v>
      </c>
      <c r="AD529" s="17" t="b">
        <f>Template!$D529=Template!$M529</f>
        <v>0</v>
      </c>
      <c r="AE529" s="12" t="s">
        <v>58</v>
      </c>
    </row>
    <row r="530" ht="15.75" customHeight="1">
      <c r="A530" s="7" t="s">
        <v>190</v>
      </c>
      <c r="B530" s="7" t="s">
        <v>160</v>
      </c>
      <c r="C530" s="7" t="s">
        <v>264</v>
      </c>
      <c r="D530" s="13">
        <v>22671.0</v>
      </c>
      <c r="E530" s="7" t="s">
        <v>193</v>
      </c>
      <c r="F530" s="13"/>
      <c r="G530" s="14" t="s">
        <v>63</v>
      </c>
      <c r="H530" s="7" t="s">
        <v>265</v>
      </c>
      <c r="I530" s="7" t="s">
        <v>266</v>
      </c>
      <c r="J530" s="7" t="s">
        <v>70</v>
      </c>
      <c r="K530" s="15">
        <v>44882.0</v>
      </c>
      <c r="L530" s="15">
        <v>32720.0</v>
      </c>
      <c r="M530" s="13">
        <v>18426.0</v>
      </c>
      <c r="N530" s="7">
        <v>1392.0</v>
      </c>
      <c r="O530" s="7"/>
      <c r="P530" s="7">
        <v>13.33</v>
      </c>
      <c r="Q530" s="7"/>
      <c r="R530" s="20"/>
      <c r="S530" s="7"/>
      <c r="T530" s="20"/>
      <c r="U530" s="16">
        <f>SUM(Template!$N530:$O530)*Template!$P530+Template!$Q530</f>
        <v>18555.36</v>
      </c>
      <c r="V530" s="17" t="str">
        <f>IF(Template!$M530="CONSELHO","N",IF(Template!$AA530="N","N1",IF(Template!$AA530="N1","N2",IF(Template!$AA530="N2","N3",IF(Template!$AA530="N3","N4",IF(Template!$AA530="N4","N5",IF(Template!$AA530="N5","N6",IF(Template!$AA530="N6","N7",IF(Template!$AA530="N7","N8",IF(Template!$AA530="N8","N9",IF(Template!$AA530="N9","N10","NA")))))))))))</f>
        <v>N4</v>
      </c>
      <c r="W530" s="17">
        <f>COUNTIF(Template!$M$3:$M$619,Template!$D530)</f>
        <v>0</v>
      </c>
      <c r="X530" s="17" t="str">
        <f>IF(Template!$F530="","",SUMIF(Template!$M$3:$M$619,Template!$D530,Template!$AC$3:$AC$619))</f>
        <v/>
      </c>
      <c r="Y530" s="17" t="str">
        <f>IFERROR(VLOOKUP(Template!$M530,Template!$D$3:$G$619,MATCH("EmployeeJobTitle",Template!$D$2:$G$2,0),FALSE),"NA")</f>
        <v>GERENTE DE LOJA</v>
      </c>
      <c r="Z530" s="17" t="str">
        <f>IFERROR(VLOOKUP(Template!$M530,Template!$D$3:$G$619,MATCH("EmployeeGroup",Template!$D$2:$G$2,0),FALSE),"NA")</f>
        <v>GERENTE</v>
      </c>
      <c r="AA530" s="17" t="str">
        <f>IFERROR(VLOOKUP(Template!$M530,Template!$D$3:$V$619,MATCH("Layer",Template!$D$2:$V$2,0),FALSE),"NA")</f>
        <v>N3</v>
      </c>
      <c r="AB530" s="21">
        <f>VLOOKUP(Template!$M530,Template!$D$3:$F$619,MATCH("InternalGrade",Template!$D$2:$F$2,0),FALSE)-Template!$F530</f>
        <v>0</v>
      </c>
      <c r="AC530" s="17">
        <f>IF(Template!$AB530&lt;=1, 0.8,IF(Template!$AB530=2,0.4,IF(Template!$AB530=3,0.2,IF(Template!$AB530=4,0.1,IF(Template!$AB530&gt;=5,0.05,"erro")))))</f>
        <v>0.8</v>
      </c>
      <c r="AD530" s="17" t="b">
        <f>Template!$D530=Template!$M530</f>
        <v>0</v>
      </c>
      <c r="AE530" s="12" t="s">
        <v>58</v>
      </c>
    </row>
    <row r="531" ht="15.75" customHeight="1">
      <c r="A531" s="7" t="s">
        <v>190</v>
      </c>
      <c r="B531" s="7" t="s">
        <v>160</v>
      </c>
      <c r="C531" s="7" t="s">
        <v>264</v>
      </c>
      <c r="D531" s="13">
        <v>23994.0</v>
      </c>
      <c r="E531" s="7" t="s">
        <v>193</v>
      </c>
      <c r="F531" s="13"/>
      <c r="G531" s="14" t="s">
        <v>63</v>
      </c>
      <c r="H531" s="7" t="s">
        <v>265</v>
      </c>
      <c r="I531" s="7" t="s">
        <v>266</v>
      </c>
      <c r="J531" s="7" t="s">
        <v>70</v>
      </c>
      <c r="K531" s="15">
        <v>45048.0</v>
      </c>
      <c r="L531" s="15">
        <v>37598.0</v>
      </c>
      <c r="M531" s="13">
        <v>18426.0</v>
      </c>
      <c r="N531" s="7">
        <v>1369.0</v>
      </c>
      <c r="O531" s="7"/>
      <c r="P531" s="7">
        <v>13.33</v>
      </c>
      <c r="Q531" s="7"/>
      <c r="R531" s="20"/>
      <c r="S531" s="7"/>
      <c r="T531" s="20"/>
      <c r="U531" s="16">
        <f>SUM(Template!$N531:$O531)*Template!$P531+Template!$Q531</f>
        <v>18248.77</v>
      </c>
      <c r="V531" s="17" t="str">
        <f>IF(Template!$M531="CONSELHO","N",IF(Template!$AA531="N","N1",IF(Template!$AA531="N1","N2",IF(Template!$AA531="N2","N3",IF(Template!$AA531="N3","N4",IF(Template!$AA531="N4","N5",IF(Template!$AA531="N5","N6",IF(Template!$AA531="N6","N7",IF(Template!$AA531="N7","N8",IF(Template!$AA531="N8","N9",IF(Template!$AA531="N9","N10","NA")))))))))))</f>
        <v>N4</v>
      </c>
      <c r="W531" s="17">
        <f>COUNTIF(Template!$M$3:$M$619,Template!$D531)</f>
        <v>0</v>
      </c>
      <c r="X531" s="17" t="str">
        <f>IF(Template!$F531="","",SUMIF(Template!$M$3:$M$619,Template!$D531,Template!$AC$3:$AC$619))</f>
        <v/>
      </c>
      <c r="Y531" s="17" t="str">
        <f>IFERROR(VLOOKUP(Template!$M531,Template!$D$3:$G$619,MATCH("EmployeeJobTitle",Template!$D$2:$G$2,0),FALSE),"NA")</f>
        <v>GERENTE DE LOJA</v>
      </c>
      <c r="Z531" s="17" t="str">
        <f>IFERROR(VLOOKUP(Template!$M531,Template!$D$3:$G$619,MATCH("EmployeeGroup",Template!$D$2:$G$2,0),FALSE),"NA")</f>
        <v>GERENTE</v>
      </c>
      <c r="AA531" s="17" t="str">
        <f>IFERROR(VLOOKUP(Template!$M531,Template!$D$3:$V$619,MATCH("Layer",Template!$D$2:$V$2,0),FALSE),"NA")</f>
        <v>N3</v>
      </c>
      <c r="AB531" s="21">
        <f>VLOOKUP(Template!$M531,Template!$D$3:$F$619,MATCH("InternalGrade",Template!$D$2:$F$2,0),FALSE)-Template!$F531</f>
        <v>0</v>
      </c>
      <c r="AC531" s="17">
        <f>IF(Template!$AB531&lt;=1, 0.8,IF(Template!$AB531=2,0.4,IF(Template!$AB531=3,0.2,IF(Template!$AB531=4,0.1,IF(Template!$AB531&gt;=5,0.05,"erro")))))</f>
        <v>0.8</v>
      </c>
      <c r="AD531" s="17" t="b">
        <f>Template!$D531=Template!$M531</f>
        <v>0</v>
      </c>
      <c r="AE531" s="12" t="s">
        <v>58</v>
      </c>
    </row>
    <row r="532" ht="15.75" customHeight="1">
      <c r="A532" s="7" t="s">
        <v>190</v>
      </c>
      <c r="B532" s="7" t="s">
        <v>160</v>
      </c>
      <c r="C532" s="7" t="s">
        <v>264</v>
      </c>
      <c r="D532" s="13">
        <v>25144.0</v>
      </c>
      <c r="E532" s="7" t="s">
        <v>193</v>
      </c>
      <c r="F532" s="13"/>
      <c r="G532" s="14" t="s">
        <v>63</v>
      </c>
      <c r="H532" s="7" t="s">
        <v>265</v>
      </c>
      <c r="I532" s="7" t="s">
        <v>266</v>
      </c>
      <c r="J532" s="7" t="s">
        <v>70</v>
      </c>
      <c r="K532" s="15">
        <v>45464.0</v>
      </c>
      <c r="L532" s="15">
        <v>34175.0</v>
      </c>
      <c r="M532" s="13">
        <v>18426.0</v>
      </c>
      <c r="N532" s="7">
        <v>1360.0</v>
      </c>
      <c r="O532" s="7"/>
      <c r="P532" s="7">
        <v>13.33</v>
      </c>
      <c r="Q532" s="7"/>
      <c r="R532" s="20"/>
      <c r="S532" s="7"/>
      <c r="T532" s="20"/>
      <c r="U532" s="16">
        <f>SUM(Template!$N532:$O532)*Template!$P532+Template!$Q532</f>
        <v>18128.8</v>
      </c>
      <c r="V532" s="17" t="str">
        <f>IF(Template!$M532="CONSELHO","N",IF(Template!$AA532="N","N1",IF(Template!$AA532="N1","N2",IF(Template!$AA532="N2","N3",IF(Template!$AA532="N3","N4",IF(Template!$AA532="N4","N5",IF(Template!$AA532="N5","N6",IF(Template!$AA532="N6","N7",IF(Template!$AA532="N7","N8",IF(Template!$AA532="N8","N9",IF(Template!$AA532="N9","N10","NA")))))))))))</f>
        <v>N4</v>
      </c>
      <c r="W532" s="17">
        <f>COUNTIF(Template!$M$3:$M$619,Template!$D532)</f>
        <v>0</v>
      </c>
      <c r="X532" s="17" t="str">
        <f>IF(Template!$F532="","",SUMIF(Template!$M$3:$M$619,Template!$D532,Template!$AC$3:$AC$619))</f>
        <v/>
      </c>
      <c r="Y532" s="17" t="str">
        <f>IFERROR(VLOOKUP(Template!$M532,Template!$D$3:$G$619,MATCH("EmployeeJobTitle",Template!$D$2:$G$2,0),FALSE),"NA")</f>
        <v>GERENTE DE LOJA</v>
      </c>
      <c r="Z532" s="17" t="str">
        <f>IFERROR(VLOOKUP(Template!$M532,Template!$D$3:$G$619,MATCH("EmployeeGroup",Template!$D$2:$G$2,0),FALSE),"NA")</f>
        <v>GERENTE</v>
      </c>
      <c r="AA532" s="17" t="str">
        <f>IFERROR(VLOOKUP(Template!$M532,Template!$D$3:$V$619,MATCH("Layer",Template!$D$2:$V$2,0),FALSE),"NA")</f>
        <v>N3</v>
      </c>
      <c r="AB532" s="21">
        <f>VLOOKUP(Template!$M532,Template!$D$3:$F$619,MATCH("InternalGrade",Template!$D$2:$F$2,0),FALSE)-Template!$F532</f>
        <v>0</v>
      </c>
      <c r="AC532" s="17">
        <f>IF(Template!$AB532&lt;=1, 0.8,IF(Template!$AB532=2,0.4,IF(Template!$AB532=3,0.2,IF(Template!$AB532=4,0.1,IF(Template!$AB532&gt;=5,0.05,"erro")))))</f>
        <v>0.8</v>
      </c>
      <c r="AD532" s="17" t="b">
        <f>Template!$D532=Template!$M532</f>
        <v>0</v>
      </c>
      <c r="AE532" s="12" t="s">
        <v>58</v>
      </c>
    </row>
    <row r="533" ht="15.75" customHeight="1">
      <c r="A533" s="7" t="s">
        <v>190</v>
      </c>
      <c r="B533" s="7" t="s">
        <v>160</v>
      </c>
      <c r="C533" s="7" t="s">
        <v>264</v>
      </c>
      <c r="D533" s="13">
        <v>24094.0</v>
      </c>
      <c r="E533" s="7" t="s">
        <v>193</v>
      </c>
      <c r="F533" s="13"/>
      <c r="G533" s="14" t="s">
        <v>63</v>
      </c>
      <c r="H533" s="7" t="s">
        <v>265</v>
      </c>
      <c r="I533" s="7" t="s">
        <v>266</v>
      </c>
      <c r="J533" s="7" t="s">
        <v>70</v>
      </c>
      <c r="K533" s="15">
        <v>45096.0</v>
      </c>
      <c r="L533" s="15">
        <v>31180.0</v>
      </c>
      <c r="M533" s="13">
        <v>18426.0</v>
      </c>
      <c r="N533" s="7">
        <v>1360.0</v>
      </c>
      <c r="O533" s="7"/>
      <c r="P533" s="7">
        <v>13.33</v>
      </c>
      <c r="Q533" s="7"/>
      <c r="R533" s="20"/>
      <c r="S533" s="7"/>
      <c r="T533" s="20"/>
      <c r="U533" s="16">
        <f>SUM(Template!$N533:$O533)*Template!$P533+Template!$Q533</f>
        <v>18128.8</v>
      </c>
      <c r="V533" s="17" t="str">
        <f>IF(Template!$M533="CONSELHO","N",IF(Template!$AA533="N","N1",IF(Template!$AA533="N1","N2",IF(Template!$AA533="N2","N3",IF(Template!$AA533="N3","N4",IF(Template!$AA533="N4","N5",IF(Template!$AA533="N5","N6",IF(Template!$AA533="N6","N7",IF(Template!$AA533="N7","N8",IF(Template!$AA533="N8","N9",IF(Template!$AA533="N9","N10","NA")))))))))))</f>
        <v>N4</v>
      </c>
      <c r="W533" s="17">
        <f>COUNTIF(Template!$M$3:$M$619,Template!$D533)</f>
        <v>0</v>
      </c>
      <c r="X533" s="17" t="str">
        <f>IF(Template!$F533="","",SUMIF(Template!$M$3:$M$619,Template!$D533,Template!$AC$3:$AC$619))</f>
        <v/>
      </c>
      <c r="Y533" s="17" t="str">
        <f>IFERROR(VLOOKUP(Template!$M533,Template!$D$3:$G$619,MATCH("EmployeeJobTitle",Template!$D$2:$G$2,0),FALSE),"NA")</f>
        <v>GERENTE DE LOJA</v>
      </c>
      <c r="Z533" s="17" t="str">
        <f>IFERROR(VLOOKUP(Template!$M533,Template!$D$3:$G$619,MATCH("EmployeeGroup",Template!$D$2:$G$2,0),FALSE),"NA")</f>
        <v>GERENTE</v>
      </c>
      <c r="AA533" s="17" t="str">
        <f>IFERROR(VLOOKUP(Template!$M533,Template!$D$3:$V$619,MATCH("Layer",Template!$D$2:$V$2,0),FALSE),"NA")</f>
        <v>N3</v>
      </c>
      <c r="AB533" s="21">
        <f>VLOOKUP(Template!$M533,Template!$D$3:$F$619,MATCH("InternalGrade",Template!$D$2:$F$2,0),FALSE)-Template!$F533</f>
        <v>0</v>
      </c>
      <c r="AC533" s="17">
        <f>IF(Template!$AB533&lt;=1, 0.8,IF(Template!$AB533=2,0.4,IF(Template!$AB533=3,0.2,IF(Template!$AB533=4,0.1,IF(Template!$AB533&gt;=5,0.05,"erro")))))</f>
        <v>0.8</v>
      </c>
      <c r="AD533" s="17" t="b">
        <f>Template!$D533=Template!$M533</f>
        <v>0</v>
      </c>
      <c r="AE533" s="12" t="s">
        <v>58</v>
      </c>
    </row>
    <row r="534" ht="15.75" customHeight="1">
      <c r="A534" s="7" t="s">
        <v>190</v>
      </c>
      <c r="B534" s="7" t="s">
        <v>160</v>
      </c>
      <c r="C534" s="7" t="s">
        <v>264</v>
      </c>
      <c r="D534" s="13">
        <v>25224.0</v>
      </c>
      <c r="E534" s="7" t="s">
        <v>198</v>
      </c>
      <c r="F534" s="13"/>
      <c r="G534" s="14" t="s">
        <v>63</v>
      </c>
      <c r="H534" s="7" t="s">
        <v>265</v>
      </c>
      <c r="I534" s="7" t="s">
        <v>266</v>
      </c>
      <c r="J534" s="7" t="s">
        <v>70</v>
      </c>
      <c r="K534" s="15">
        <v>45495.0</v>
      </c>
      <c r="L534" s="15">
        <v>31937.0</v>
      </c>
      <c r="M534" s="13">
        <v>18426.0</v>
      </c>
      <c r="N534" s="7">
        <v>1422.95</v>
      </c>
      <c r="O534" s="7"/>
      <c r="P534" s="7">
        <v>13.33</v>
      </c>
      <c r="Q534" s="7"/>
      <c r="R534" s="20"/>
      <c r="S534" s="7"/>
      <c r="T534" s="20"/>
      <c r="U534" s="16">
        <f>SUM(Template!$N534:$O534)*Template!$P534+Template!$Q534</f>
        <v>18967.9235</v>
      </c>
      <c r="V534" s="17" t="str">
        <f>IF(Template!$M534="CONSELHO","N",IF(Template!$AA534="N","N1",IF(Template!$AA534="N1","N2",IF(Template!$AA534="N2","N3",IF(Template!$AA534="N3","N4",IF(Template!$AA534="N4","N5",IF(Template!$AA534="N5","N6",IF(Template!$AA534="N6","N7",IF(Template!$AA534="N7","N8",IF(Template!$AA534="N8","N9",IF(Template!$AA534="N9","N10","NA")))))))))))</f>
        <v>N4</v>
      </c>
      <c r="W534" s="17">
        <f>COUNTIF(Template!$M$3:$M$619,Template!$D534)</f>
        <v>0</v>
      </c>
      <c r="X534" s="17" t="str">
        <f>IF(Template!$F534="","",SUMIF(Template!$M$3:$M$619,Template!$D534,Template!$AC$3:$AC$619))</f>
        <v/>
      </c>
      <c r="Y534" s="17" t="str">
        <f>IFERROR(VLOOKUP(Template!$M534,Template!$D$3:$G$619,MATCH("EmployeeJobTitle",Template!$D$2:$G$2,0),FALSE),"NA")</f>
        <v>GERENTE DE LOJA</v>
      </c>
      <c r="Z534" s="17" t="str">
        <f>IFERROR(VLOOKUP(Template!$M534,Template!$D$3:$G$619,MATCH("EmployeeGroup",Template!$D$2:$G$2,0),FALSE),"NA")</f>
        <v>GERENTE</v>
      </c>
      <c r="AA534" s="17" t="str">
        <f>IFERROR(VLOOKUP(Template!$M534,Template!$D$3:$V$619,MATCH("Layer",Template!$D$2:$V$2,0),FALSE),"NA")</f>
        <v>N3</v>
      </c>
      <c r="AB534" s="21">
        <f>VLOOKUP(Template!$M534,Template!$D$3:$F$619,MATCH("InternalGrade",Template!$D$2:$F$2,0),FALSE)-Template!$F534</f>
        <v>0</v>
      </c>
      <c r="AC534" s="17">
        <f>IF(Template!$AB534&lt;=1, 0.8,IF(Template!$AB534=2,0.4,IF(Template!$AB534=3,0.2,IF(Template!$AB534=4,0.1,IF(Template!$AB534&gt;=5,0.05,"erro")))))</f>
        <v>0.8</v>
      </c>
      <c r="AD534" s="17" t="b">
        <f>Template!$D534=Template!$M534</f>
        <v>0</v>
      </c>
      <c r="AE534" s="12" t="s">
        <v>58</v>
      </c>
    </row>
    <row r="535" ht="15.75" customHeight="1">
      <c r="A535" s="7" t="s">
        <v>190</v>
      </c>
      <c r="B535" s="7" t="s">
        <v>160</v>
      </c>
      <c r="C535" s="7" t="s">
        <v>264</v>
      </c>
      <c r="D535" s="13">
        <v>25145.0</v>
      </c>
      <c r="E535" s="7" t="s">
        <v>196</v>
      </c>
      <c r="F535" s="13"/>
      <c r="G535" s="14" t="s">
        <v>63</v>
      </c>
      <c r="H535" s="7" t="s">
        <v>265</v>
      </c>
      <c r="I535" s="7" t="s">
        <v>266</v>
      </c>
      <c r="J535" s="7" t="s">
        <v>70</v>
      </c>
      <c r="K535" s="15">
        <v>45464.0</v>
      </c>
      <c r="L535" s="15">
        <v>36745.0</v>
      </c>
      <c r="M535" s="13">
        <v>18426.0</v>
      </c>
      <c r="N535" s="7">
        <v>1422.95</v>
      </c>
      <c r="O535" s="7"/>
      <c r="P535" s="7">
        <v>13.33</v>
      </c>
      <c r="Q535" s="7"/>
      <c r="R535" s="20"/>
      <c r="S535" s="7"/>
      <c r="T535" s="20"/>
      <c r="U535" s="16">
        <f>SUM(Template!$N535:$O535)*Template!$P535+Template!$Q535</f>
        <v>18967.9235</v>
      </c>
      <c r="V535" s="17" t="str">
        <f>IF(Template!$M535="CONSELHO","N",IF(Template!$AA535="N","N1",IF(Template!$AA535="N1","N2",IF(Template!$AA535="N2","N3",IF(Template!$AA535="N3","N4",IF(Template!$AA535="N4","N5",IF(Template!$AA535="N5","N6",IF(Template!$AA535="N6","N7",IF(Template!$AA535="N7","N8",IF(Template!$AA535="N8","N9",IF(Template!$AA535="N9","N10","NA")))))))))))</f>
        <v>N4</v>
      </c>
      <c r="W535" s="17">
        <f>COUNTIF(Template!$M$3:$M$619,Template!$D535)</f>
        <v>0</v>
      </c>
      <c r="X535" s="17" t="str">
        <f>IF(Template!$F535="","",SUMIF(Template!$M$3:$M$619,Template!$D535,Template!$AC$3:$AC$619))</f>
        <v/>
      </c>
      <c r="Y535" s="17" t="str">
        <f>IFERROR(VLOOKUP(Template!$M535,Template!$D$3:$G$619,MATCH("EmployeeJobTitle",Template!$D$2:$G$2,0),FALSE),"NA")</f>
        <v>GERENTE DE LOJA</v>
      </c>
      <c r="Z535" s="17" t="str">
        <f>IFERROR(VLOOKUP(Template!$M535,Template!$D$3:$G$619,MATCH("EmployeeGroup",Template!$D$2:$G$2,0),FALSE),"NA")</f>
        <v>GERENTE</v>
      </c>
      <c r="AA535" s="17" t="str">
        <f>IFERROR(VLOOKUP(Template!$M535,Template!$D$3:$V$619,MATCH("Layer",Template!$D$2:$V$2,0),FALSE),"NA")</f>
        <v>N3</v>
      </c>
      <c r="AB535" s="21">
        <f>VLOOKUP(Template!$M535,Template!$D$3:$F$619,MATCH("InternalGrade",Template!$D$2:$F$2,0),FALSE)-Template!$F535</f>
        <v>0</v>
      </c>
      <c r="AC535" s="17">
        <f>IF(Template!$AB535&lt;=1, 0.8,IF(Template!$AB535=2,0.4,IF(Template!$AB535=3,0.2,IF(Template!$AB535=4,0.1,IF(Template!$AB535&gt;=5,0.05,"erro")))))</f>
        <v>0.8</v>
      </c>
      <c r="AD535" s="17" t="b">
        <f>Template!$D535=Template!$M535</f>
        <v>0</v>
      </c>
      <c r="AE535" s="12" t="s">
        <v>58</v>
      </c>
    </row>
    <row r="536" ht="15.75" customHeight="1">
      <c r="A536" s="7" t="s">
        <v>190</v>
      </c>
      <c r="B536" s="7" t="s">
        <v>160</v>
      </c>
      <c r="C536" s="7" t="s">
        <v>264</v>
      </c>
      <c r="D536" s="13">
        <v>24798.0</v>
      </c>
      <c r="E536" s="7" t="s">
        <v>201</v>
      </c>
      <c r="F536" s="13"/>
      <c r="G536" s="14" t="s">
        <v>63</v>
      </c>
      <c r="H536" s="7" t="s">
        <v>265</v>
      </c>
      <c r="I536" s="7" t="s">
        <v>266</v>
      </c>
      <c r="J536" s="7" t="s">
        <v>70</v>
      </c>
      <c r="K536" s="15">
        <v>45302.0</v>
      </c>
      <c r="L536" s="15">
        <v>37858.0</v>
      </c>
      <c r="M536" s="13">
        <v>18426.0</v>
      </c>
      <c r="N536" s="7">
        <v>663.39</v>
      </c>
      <c r="O536" s="7"/>
      <c r="P536" s="7">
        <v>13.33</v>
      </c>
      <c r="Q536" s="7"/>
      <c r="R536" s="20"/>
      <c r="S536" s="7"/>
      <c r="T536" s="20"/>
      <c r="U536" s="16">
        <f>SUM(Template!$N536:$O536)*Template!$P536+Template!$Q536</f>
        <v>8842.9887</v>
      </c>
      <c r="V536" s="17" t="str">
        <f>IF(Template!$M536="CONSELHO","N",IF(Template!$AA536="N","N1",IF(Template!$AA536="N1","N2",IF(Template!$AA536="N2","N3",IF(Template!$AA536="N3","N4",IF(Template!$AA536="N4","N5",IF(Template!$AA536="N5","N6",IF(Template!$AA536="N6","N7",IF(Template!$AA536="N7","N8",IF(Template!$AA536="N8","N9",IF(Template!$AA536="N9","N10","NA")))))))))))</f>
        <v>N4</v>
      </c>
      <c r="W536" s="17">
        <f>COUNTIF(Template!$M$3:$M$619,Template!$D536)</f>
        <v>0</v>
      </c>
      <c r="X536" s="17" t="str">
        <f>IF(Template!$F536="","",SUMIF(Template!$M$3:$M$619,Template!$D536,Template!$AC$3:$AC$619))</f>
        <v/>
      </c>
      <c r="Y536" s="17" t="str">
        <f>IFERROR(VLOOKUP(Template!$M536,Template!$D$3:$G$619,MATCH("EmployeeJobTitle",Template!$D$2:$G$2,0),FALSE),"NA")</f>
        <v>GERENTE DE LOJA</v>
      </c>
      <c r="Z536" s="17" t="str">
        <f>IFERROR(VLOOKUP(Template!$M536,Template!$D$3:$G$619,MATCH("EmployeeGroup",Template!$D$2:$G$2,0),FALSE),"NA")</f>
        <v>GERENTE</v>
      </c>
      <c r="AA536" s="17" t="str">
        <f>IFERROR(VLOOKUP(Template!$M536,Template!$D$3:$V$619,MATCH("Layer",Template!$D$2:$V$2,0),FALSE),"NA")</f>
        <v>N3</v>
      </c>
      <c r="AB536" s="21">
        <f>VLOOKUP(Template!$M536,Template!$D$3:$F$619,MATCH("InternalGrade",Template!$D$2:$F$2,0),FALSE)-Template!$F536</f>
        <v>0</v>
      </c>
      <c r="AC536" s="17">
        <f>IF(Template!$AB536&lt;=1, 0.8,IF(Template!$AB536=2,0.4,IF(Template!$AB536=3,0.2,IF(Template!$AB536=4,0.1,IF(Template!$AB536&gt;=5,0.05,"erro")))))</f>
        <v>0.8</v>
      </c>
      <c r="AD536" s="17" t="b">
        <f>Template!$D536=Template!$M536</f>
        <v>0</v>
      </c>
      <c r="AE536" s="12" t="s">
        <v>58</v>
      </c>
    </row>
    <row r="537" ht="15.75" customHeight="1">
      <c r="A537" s="7" t="s">
        <v>190</v>
      </c>
      <c r="B537" s="7" t="s">
        <v>191</v>
      </c>
      <c r="C537" s="7" t="s">
        <v>267</v>
      </c>
      <c r="D537" s="13">
        <v>23762.0</v>
      </c>
      <c r="E537" s="7" t="s">
        <v>204</v>
      </c>
      <c r="F537" s="13"/>
      <c r="G537" s="14" t="s">
        <v>63</v>
      </c>
      <c r="H537" s="7" t="s">
        <v>194</v>
      </c>
      <c r="I537" s="7" t="s">
        <v>195</v>
      </c>
      <c r="J537" s="7" t="s">
        <v>70</v>
      </c>
      <c r="K537" s="15">
        <v>44963.0</v>
      </c>
      <c r="L537" s="15">
        <v>31580.0</v>
      </c>
      <c r="M537" s="13">
        <v>18863.0</v>
      </c>
      <c r="N537" s="7"/>
      <c r="O537" s="7"/>
      <c r="P537" s="7">
        <v>13.33</v>
      </c>
      <c r="Q537" s="7"/>
      <c r="R537" s="20"/>
      <c r="S537" s="7"/>
      <c r="T537" s="20"/>
      <c r="U537" s="16">
        <f>SUM(Template!$N537:$O537)*Template!$P537+Template!$Q537</f>
        <v>0</v>
      </c>
      <c r="V537" s="17" t="str">
        <f>IF(Template!$M537="CONSELHO","N",IF(Template!$AA537="N","N1",IF(Template!$AA537="N1","N2",IF(Template!$AA537="N2","N3",IF(Template!$AA537="N3","N4",IF(Template!$AA537="N4","N5",IF(Template!$AA537="N5","N6",IF(Template!$AA537="N6","N7",IF(Template!$AA537="N7","N8",IF(Template!$AA537="N8","N9",IF(Template!$AA537="N9","N10","NA")))))))))))</f>
        <v>N4</v>
      </c>
      <c r="W537" s="17">
        <f>COUNTIF(Template!$M$3:$M$619,Template!$D537)</f>
        <v>0</v>
      </c>
      <c r="X537" s="17" t="str">
        <f>IF(Template!$F537="","",SUMIF(Template!$M$3:$M$619,Template!$D537,Template!$AC$3:$AC$619))</f>
        <v/>
      </c>
      <c r="Y537" s="17" t="str">
        <f>IFERROR(VLOOKUP(Template!$M537,Template!$D$3:$G$619,MATCH("EmployeeJobTitle",Template!$D$2:$G$2,0),FALSE),"NA")</f>
        <v>GERENTE DE LOJA JR</v>
      </c>
      <c r="Z537" s="17" t="str">
        <f>IFERROR(VLOOKUP(Template!$M537,Template!$D$3:$G$619,MATCH("EmployeeGroup",Template!$D$2:$G$2,0),FALSE),"NA")</f>
        <v>GERENTE</v>
      </c>
      <c r="AA537" s="17" t="str">
        <f>IFERROR(VLOOKUP(Template!$M537,Template!$D$3:$V$619,MATCH("Layer",Template!$D$2:$V$2,0),FALSE),"NA")</f>
        <v>N3</v>
      </c>
      <c r="AB537" s="21">
        <f>VLOOKUP(Template!$M537,Template!$D$3:$F$619,MATCH("InternalGrade",Template!$D$2:$F$2,0),FALSE)-Template!$F537</f>
        <v>0</v>
      </c>
      <c r="AC537" s="17">
        <f>IF(Template!$AB537&lt;=1, 0.8,IF(Template!$AB537=2,0.4,IF(Template!$AB537=3,0.2,IF(Template!$AB537=4,0.1,IF(Template!$AB537&gt;=5,0.05,"erro")))))</f>
        <v>0.8</v>
      </c>
      <c r="AD537" s="17" t="b">
        <f>Template!$D537=Template!$M537</f>
        <v>0</v>
      </c>
      <c r="AE537" s="12" t="s">
        <v>58</v>
      </c>
    </row>
    <row r="538" ht="15.75" customHeight="1">
      <c r="A538" s="7" t="s">
        <v>190</v>
      </c>
      <c r="B538" s="7" t="s">
        <v>191</v>
      </c>
      <c r="C538" s="7" t="s">
        <v>267</v>
      </c>
      <c r="D538" s="13">
        <v>25093.0</v>
      </c>
      <c r="E538" s="7" t="s">
        <v>193</v>
      </c>
      <c r="F538" s="13"/>
      <c r="G538" s="14" t="s">
        <v>63</v>
      </c>
      <c r="H538" s="7" t="s">
        <v>194</v>
      </c>
      <c r="I538" s="7" t="s">
        <v>195</v>
      </c>
      <c r="J538" s="7" t="s">
        <v>70</v>
      </c>
      <c r="K538" s="15">
        <v>45446.0</v>
      </c>
      <c r="L538" s="15">
        <v>30220.0</v>
      </c>
      <c r="M538" s="13">
        <v>18863.0</v>
      </c>
      <c r="N538" s="7"/>
      <c r="O538" s="7"/>
      <c r="P538" s="7">
        <v>13.33</v>
      </c>
      <c r="Q538" s="7"/>
      <c r="R538" s="20"/>
      <c r="S538" s="7"/>
      <c r="T538" s="20"/>
      <c r="U538" s="16">
        <f>SUM(Template!$N538:$O538)*Template!$P538+Template!$Q538</f>
        <v>0</v>
      </c>
      <c r="V538" s="17" t="str">
        <f>IF(Template!$M538="CONSELHO","N",IF(Template!$AA538="N","N1",IF(Template!$AA538="N1","N2",IF(Template!$AA538="N2","N3",IF(Template!$AA538="N3","N4",IF(Template!$AA538="N4","N5",IF(Template!$AA538="N5","N6",IF(Template!$AA538="N6","N7",IF(Template!$AA538="N7","N8",IF(Template!$AA538="N8","N9",IF(Template!$AA538="N9","N10","NA")))))))))))</f>
        <v>N4</v>
      </c>
      <c r="W538" s="17">
        <f>COUNTIF(Template!$M$3:$M$619,Template!$D538)</f>
        <v>0</v>
      </c>
      <c r="X538" s="17" t="str">
        <f>IF(Template!$F538="","",SUMIF(Template!$M$3:$M$619,Template!$D538,Template!$AC$3:$AC$619))</f>
        <v/>
      </c>
      <c r="Y538" s="17" t="str">
        <f>IFERROR(VLOOKUP(Template!$M538,Template!$D$3:$G$619,MATCH("EmployeeJobTitle",Template!$D$2:$G$2,0),FALSE),"NA")</f>
        <v>GERENTE DE LOJA JR</v>
      </c>
      <c r="Z538" s="17" t="str">
        <f>IFERROR(VLOOKUP(Template!$M538,Template!$D$3:$G$619,MATCH("EmployeeGroup",Template!$D$2:$G$2,0),FALSE),"NA")</f>
        <v>GERENTE</v>
      </c>
      <c r="AA538" s="17" t="str">
        <f>IFERROR(VLOOKUP(Template!$M538,Template!$D$3:$V$619,MATCH("Layer",Template!$D$2:$V$2,0),FALSE),"NA")</f>
        <v>N3</v>
      </c>
      <c r="AB538" s="21">
        <f>VLOOKUP(Template!$M538,Template!$D$3:$F$619,MATCH("InternalGrade",Template!$D$2:$F$2,0),FALSE)-Template!$F538</f>
        <v>0</v>
      </c>
      <c r="AC538" s="17">
        <f>IF(Template!$AB538&lt;=1, 0.8,IF(Template!$AB538=2,0.4,IF(Template!$AB538=3,0.2,IF(Template!$AB538=4,0.1,IF(Template!$AB538&gt;=5,0.05,"erro")))))</f>
        <v>0.8</v>
      </c>
      <c r="AD538" s="17" t="b">
        <f>Template!$D538=Template!$M538</f>
        <v>0</v>
      </c>
      <c r="AE538" s="12" t="s">
        <v>58</v>
      </c>
    </row>
    <row r="539" ht="15.75" customHeight="1">
      <c r="A539" s="7" t="s">
        <v>190</v>
      </c>
      <c r="B539" s="7" t="s">
        <v>191</v>
      </c>
      <c r="C539" s="7" t="s">
        <v>267</v>
      </c>
      <c r="D539" s="13">
        <v>18863.0</v>
      </c>
      <c r="E539" s="7" t="s">
        <v>211</v>
      </c>
      <c r="F539" s="13"/>
      <c r="G539" s="22" t="s">
        <v>200</v>
      </c>
      <c r="H539" s="7" t="s">
        <v>194</v>
      </c>
      <c r="I539" s="7" t="s">
        <v>195</v>
      </c>
      <c r="J539" s="7" t="s">
        <v>70</v>
      </c>
      <c r="K539" s="15">
        <v>44138.0</v>
      </c>
      <c r="L539" s="15">
        <v>31538.0</v>
      </c>
      <c r="M539" s="13">
        <v>23256.0</v>
      </c>
      <c r="N539" s="7">
        <v>4680.0</v>
      </c>
      <c r="O539" s="7"/>
      <c r="P539" s="7">
        <v>13.33</v>
      </c>
      <c r="Q539" s="7"/>
      <c r="R539" s="20"/>
      <c r="S539" s="7"/>
      <c r="T539" s="20"/>
      <c r="U539" s="16">
        <f>SUM(Template!$N539:$O539)*Template!$P539+Template!$Q539</f>
        <v>62384.4</v>
      </c>
      <c r="V539" s="17" t="str">
        <f>IF(Template!$M539="CONSELHO","N",IF(Template!$AA539="N","N1",IF(Template!$AA539="N1","N2",IF(Template!$AA539="N2","N3",IF(Template!$AA539="N3","N4",IF(Template!$AA539="N4","N5",IF(Template!$AA539="N5","N6",IF(Template!$AA539="N6","N7",IF(Template!$AA539="N7","N8",IF(Template!$AA539="N8","N9",IF(Template!$AA539="N9","N10","NA")))))))))))</f>
        <v>N3</v>
      </c>
      <c r="W539" s="17">
        <f>COUNTIF(Template!$M$3:$M$619,Template!$D539)</f>
        <v>6</v>
      </c>
      <c r="X539" s="17" t="str">
        <f>IF(Template!$F539="","",SUMIF(Template!$M$3:$M$619,Template!$D539,Template!$AC$3:$AC$619))</f>
        <v/>
      </c>
      <c r="Y539" s="17" t="str">
        <f>IFERROR(VLOOKUP(Template!$M539,Template!$D$3:$G$619,MATCH("EmployeeJobTitle",Template!$D$2:$G$2,0),FALSE),"NA")</f>
        <v>GERENTE COMERCIAL</v>
      </c>
      <c r="Z539" s="17" t="str">
        <f>IFERROR(VLOOKUP(Template!$M539,Template!$D$3:$G$619,MATCH("EmployeeGroup",Template!$D$2:$G$2,0),FALSE),"NA")</f>
        <v>Coordenador</v>
      </c>
      <c r="AA539" s="17" t="str">
        <f>IFERROR(VLOOKUP(Template!$M539,Template!$D$3:$V$619,MATCH("Layer",Template!$D$2:$V$2,0),FALSE),"NA")</f>
        <v>N2</v>
      </c>
      <c r="AB539" s="21">
        <f>VLOOKUP(Template!$M539,Template!$D$3:$F$619,MATCH("InternalGrade",Template!$D$2:$F$2,0),FALSE)-Template!$F539</f>
        <v>19</v>
      </c>
      <c r="AC539" s="17">
        <f>IF(Template!$AB539&lt;=1, 0.8,IF(Template!$AB539=2,0.4,IF(Template!$AB539=3,0.2,IF(Template!$AB539=4,0.1,IF(Template!$AB539&gt;=5,0.05,"erro")))))</f>
        <v>0.05</v>
      </c>
      <c r="AD539" s="17" t="b">
        <f>Template!$D539=Template!$M539</f>
        <v>0</v>
      </c>
      <c r="AE539" s="12" t="s">
        <v>58</v>
      </c>
    </row>
    <row r="540" ht="15.75" customHeight="1">
      <c r="A540" s="7" t="s">
        <v>190</v>
      </c>
      <c r="B540" s="7" t="s">
        <v>191</v>
      </c>
      <c r="C540" s="7" t="s">
        <v>267</v>
      </c>
      <c r="D540" s="13">
        <v>19627.0</v>
      </c>
      <c r="E540" s="7" t="s">
        <v>203</v>
      </c>
      <c r="F540" s="13"/>
      <c r="G540" s="14" t="s">
        <v>63</v>
      </c>
      <c r="H540" s="7" t="s">
        <v>194</v>
      </c>
      <c r="I540" s="7" t="s">
        <v>195</v>
      </c>
      <c r="J540" s="7" t="s">
        <v>70</v>
      </c>
      <c r="K540" s="15">
        <v>44361.0</v>
      </c>
      <c r="L540" s="15">
        <v>34407.0</v>
      </c>
      <c r="M540" s="13">
        <v>18863.0</v>
      </c>
      <c r="N540" s="7"/>
      <c r="O540" s="7"/>
      <c r="P540" s="7">
        <v>13.33</v>
      </c>
      <c r="Q540" s="7"/>
      <c r="R540" s="20"/>
      <c r="S540" s="7"/>
      <c r="T540" s="20"/>
      <c r="U540" s="16">
        <f>SUM(Template!$N540:$O540)*Template!$P540+Template!$Q540</f>
        <v>0</v>
      </c>
      <c r="V540" s="17" t="str">
        <f>IF(Template!$M540="CONSELHO","N",IF(Template!$AA540="N","N1",IF(Template!$AA540="N1","N2",IF(Template!$AA540="N2","N3",IF(Template!$AA540="N3","N4",IF(Template!$AA540="N4","N5",IF(Template!$AA540="N5","N6",IF(Template!$AA540="N6","N7",IF(Template!$AA540="N7","N8",IF(Template!$AA540="N8","N9",IF(Template!$AA540="N9","N10","NA")))))))))))</f>
        <v>N4</v>
      </c>
      <c r="W540" s="17">
        <f>COUNTIF(Template!$M$3:$M$619,Template!$D540)</f>
        <v>0</v>
      </c>
      <c r="X540" s="17" t="str">
        <f>IF(Template!$F540="","",SUMIF(Template!$M$3:$M$619,Template!$D540,Template!$AC$3:$AC$619))</f>
        <v/>
      </c>
      <c r="Y540" s="17" t="str">
        <f>IFERROR(VLOOKUP(Template!$M540,Template!$D$3:$G$619,MATCH("EmployeeJobTitle",Template!$D$2:$G$2,0),FALSE),"NA")</f>
        <v>GERENTE DE LOJA JR</v>
      </c>
      <c r="Z540" s="17" t="str">
        <f>IFERROR(VLOOKUP(Template!$M540,Template!$D$3:$G$619,MATCH("EmployeeGroup",Template!$D$2:$G$2,0),FALSE),"NA")</f>
        <v>GERENTE</v>
      </c>
      <c r="AA540" s="17" t="str">
        <f>IFERROR(VLOOKUP(Template!$M540,Template!$D$3:$V$619,MATCH("Layer",Template!$D$2:$V$2,0),FALSE),"NA")</f>
        <v>N3</v>
      </c>
      <c r="AB540" s="21">
        <f>VLOOKUP(Template!$M540,Template!$D$3:$F$619,MATCH("InternalGrade",Template!$D$2:$F$2,0),FALSE)-Template!$F540</f>
        <v>0</v>
      </c>
      <c r="AC540" s="17">
        <f>IF(Template!$AB540&lt;=1, 0.8,IF(Template!$AB540=2,0.4,IF(Template!$AB540=3,0.2,IF(Template!$AB540=4,0.1,IF(Template!$AB540&gt;=5,0.05,"erro")))))</f>
        <v>0.8</v>
      </c>
      <c r="AD540" s="17" t="b">
        <f>Template!$D540=Template!$M540</f>
        <v>0</v>
      </c>
      <c r="AE540" s="12" t="s">
        <v>58</v>
      </c>
    </row>
    <row r="541" ht="15.75" customHeight="1">
      <c r="A541" s="7" t="s">
        <v>190</v>
      </c>
      <c r="B541" s="7" t="s">
        <v>191</v>
      </c>
      <c r="C541" s="7" t="s">
        <v>267</v>
      </c>
      <c r="D541" s="13">
        <v>19956.0</v>
      </c>
      <c r="E541" s="7" t="s">
        <v>196</v>
      </c>
      <c r="F541" s="13"/>
      <c r="G541" s="14" t="s">
        <v>63</v>
      </c>
      <c r="H541" s="7" t="s">
        <v>194</v>
      </c>
      <c r="I541" s="7" t="s">
        <v>195</v>
      </c>
      <c r="J541" s="7" t="s">
        <v>70</v>
      </c>
      <c r="K541" s="15">
        <v>44516.0</v>
      </c>
      <c r="L541" s="15">
        <v>29458.0</v>
      </c>
      <c r="M541" s="13">
        <v>18863.0</v>
      </c>
      <c r="N541" s="7">
        <v>2082.0</v>
      </c>
      <c r="O541" s="7"/>
      <c r="P541" s="7">
        <v>13.33</v>
      </c>
      <c r="Q541" s="7"/>
      <c r="R541" s="20"/>
      <c r="S541" s="7"/>
      <c r="T541" s="20"/>
      <c r="U541" s="16">
        <f>SUM(Template!$N541:$O541)*Template!$P541+Template!$Q541</f>
        <v>27753.06</v>
      </c>
      <c r="V541" s="17" t="str">
        <f>IF(Template!$M541="CONSELHO","N",IF(Template!$AA541="N","N1",IF(Template!$AA541="N1","N2",IF(Template!$AA541="N2","N3",IF(Template!$AA541="N3","N4",IF(Template!$AA541="N4","N5",IF(Template!$AA541="N5","N6",IF(Template!$AA541="N6","N7",IF(Template!$AA541="N7","N8",IF(Template!$AA541="N8","N9",IF(Template!$AA541="N9","N10","NA")))))))))))</f>
        <v>N4</v>
      </c>
      <c r="W541" s="17">
        <f>COUNTIF(Template!$M$3:$M$619,Template!$D541)</f>
        <v>0</v>
      </c>
      <c r="X541" s="17" t="str">
        <f>IF(Template!$F541="","",SUMIF(Template!$M$3:$M$619,Template!$D541,Template!$AC$3:$AC$619))</f>
        <v/>
      </c>
      <c r="Y541" s="17" t="str">
        <f>IFERROR(VLOOKUP(Template!$M541,Template!$D$3:$G$619,MATCH("EmployeeJobTitle",Template!$D$2:$G$2,0),FALSE),"NA")</f>
        <v>GERENTE DE LOJA JR</v>
      </c>
      <c r="Z541" s="17" t="str">
        <f>IFERROR(VLOOKUP(Template!$M541,Template!$D$3:$G$619,MATCH("EmployeeGroup",Template!$D$2:$G$2,0),FALSE),"NA")</f>
        <v>GERENTE</v>
      </c>
      <c r="AA541" s="17" t="str">
        <f>IFERROR(VLOOKUP(Template!$M541,Template!$D$3:$V$619,MATCH("Layer",Template!$D$2:$V$2,0),FALSE),"NA")</f>
        <v>N3</v>
      </c>
      <c r="AB541" s="21">
        <f>VLOOKUP(Template!$M541,Template!$D$3:$F$619,MATCH("InternalGrade",Template!$D$2:$F$2,0),FALSE)-Template!$F541</f>
        <v>0</v>
      </c>
      <c r="AC541" s="17">
        <f>IF(Template!$AB541&lt;=1, 0.8,IF(Template!$AB541=2,0.4,IF(Template!$AB541=3,0.2,IF(Template!$AB541=4,0.1,IF(Template!$AB541&gt;=5,0.05,"erro")))))</f>
        <v>0.8</v>
      </c>
      <c r="AD541" s="17" t="b">
        <f>Template!$D541=Template!$M541</f>
        <v>0</v>
      </c>
      <c r="AE541" s="12" t="s">
        <v>58</v>
      </c>
    </row>
    <row r="542" ht="15.75" customHeight="1">
      <c r="A542" s="7" t="s">
        <v>190</v>
      </c>
      <c r="B542" s="7" t="s">
        <v>191</v>
      </c>
      <c r="C542" s="7" t="s">
        <v>267</v>
      </c>
      <c r="D542" s="13">
        <v>25227.0</v>
      </c>
      <c r="E542" s="7" t="s">
        <v>193</v>
      </c>
      <c r="F542" s="13"/>
      <c r="G542" s="14" t="s">
        <v>63</v>
      </c>
      <c r="H542" s="7" t="s">
        <v>194</v>
      </c>
      <c r="I542" s="7" t="s">
        <v>195</v>
      </c>
      <c r="J542" s="7" t="s">
        <v>70</v>
      </c>
      <c r="K542" s="15">
        <v>45496.0</v>
      </c>
      <c r="L542" s="15">
        <v>35809.0</v>
      </c>
      <c r="M542" s="13">
        <v>18863.0</v>
      </c>
      <c r="N542" s="7"/>
      <c r="O542" s="7"/>
      <c r="P542" s="7">
        <v>13.33</v>
      </c>
      <c r="Q542" s="7"/>
      <c r="R542" s="20"/>
      <c r="S542" s="7"/>
      <c r="T542" s="20"/>
      <c r="U542" s="16">
        <f>SUM(Template!$N542:$O542)*Template!$P542+Template!$Q542</f>
        <v>0</v>
      </c>
      <c r="V542" s="17" t="str">
        <f>IF(Template!$M542="CONSELHO","N",IF(Template!$AA542="N","N1",IF(Template!$AA542="N1","N2",IF(Template!$AA542="N2","N3",IF(Template!$AA542="N3","N4",IF(Template!$AA542="N4","N5",IF(Template!$AA542="N5","N6",IF(Template!$AA542="N6","N7",IF(Template!$AA542="N7","N8",IF(Template!$AA542="N8","N9",IF(Template!$AA542="N9","N10","NA")))))))))))</f>
        <v>N4</v>
      </c>
      <c r="W542" s="17">
        <f>COUNTIF(Template!$M$3:$M$619,Template!$D542)</f>
        <v>0</v>
      </c>
      <c r="X542" s="17" t="str">
        <f>IF(Template!$F542="","",SUMIF(Template!$M$3:$M$619,Template!$D542,Template!$AC$3:$AC$619))</f>
        <v/>
      </c>
      <c r="Y542" s="17" t="str">
        <f>IFERROR(VLOOKUP(Template!$M542,Template!$D$3:$G$619,MATCH("EmployeeJobTitle",Template!$D$2:$G$2,0),FALSE),"NA")</f>
        <v>GERENTE DE LOJA JR</v>
      </c>
      <c r="Z542" s="17" t="str">
        <f>IFERROR(VLOOKUP(Template!$M542,Template!$D$3:$G$619,MATCH("EmployeeGroup",Template!$D$2:$G$2,0),FALSE),"NA")</f>
        <v>GERENTE</v>
      </c>
      <c r="AA542" s="17" t="str">
        <f>IFERROR(VLOOKUP(Template!$M542,Template!$D$3:$V$619,MATCH("Layer",Template!$D$2:$V$2,0),FALSE),"NA")</f>
        <v>N3</v>
      </c>
      <c r="AB542" s="21">
        <f>VLOOKUP(Template!$M542,Template!$D$3:$F$619,MATCH("InternalGrade",Template!$D$2:$F$2,0),FALSE)-Template!$F542</f>
        <v>0</v>
      </c>
      <c r="AC542" s="17">
        <f>IF(Template!$AB542&lt;=1, 0.8,IF(Template!$AB542=2,0.4,IF(Template!$AB542=3,0.2,IF(Template!$AB542=4,0.1,IF(Template!$AB542&gt;=5,0.05,"erro")))))</f>
        <v>0.8</v>
      </c>
      <c r="AD542" s="17" t="b">
        <f>Template!$D542=Template!$M542</f>
        <v>0</v>
      </c>
      <c r="AE542" s="12" t="s">
        <v>58</v>
      </c>
    </row>
    <row r="543" ht="15.75" customHeight="1">
      <c r="A543" s="7" t="s">
        <v>190</v>
      </c>
      <c r="B543" s="7" t="s">
        <v>191</v>
      </c>
      <c r="C543" s="7" t="s">
        <v>267</v>
      </c>
      <c r="D543" s="13">
        <v>22495.0</v>
      </c>
      <c r="E543" s="7" t="s">
        <v>203</v>
      </c>
      <c r="F543" s="13"/>
      <c r="G543" s="14" t="s">
        <v>63</v>
      </c>
      <c r="H543" s="7" t="s">
        <v>194</v>
      </c>
      <c r="I543" s="7" t="s">
        <v>195</v>
      </c>
      <c r="J543" s="7" t="s">
        <v>70</v>
      </c>
      <c r="K543" s="15">
        <v>44882.0</v>
      </c>
      <c r="L543" s="15">
        <v>37108.0</v>
      </c>
      <c r="M543" s="13">
        <v>18863.0</v>
      </c>
      <c r="N543" s="7"/>
      <c r="O543" s="7"/>
      <c r="P543" s="7">
        <v>13.33</v>
      </c>
      <c r="Q543" s="7"/>
      <c r="R543" s="20"/>
      <c r="S543" s="7"/>
      <c r="T543" s="20"/>
      <c r="U543" s="16">
        <f>SUM(Template!$N543:$O543)*Template!$P543+Template!$Q543</f>
        <v>0</v>
      </c>
      <c r="V543" s="17" t="str">
        <f>IF(Template!$M543="CONSELHO","N",IF(Template!$AA543="N","N1",IF(Template!$AA543="N1","N2",IF(Template!$AA543="N2","N3",IF(Template!$AA543="N3","N4",IF(Template!$AA543="N4","N5",IF(Template!$AA543="N5","N6",IF(Template!$AA543="N6","N7",IF(Template!$AA543="N7","N8",IF(Template!$AA543="N8","N9",IF(Template!$AA543="N9","N10","NA")))))))))))</f>
        <v>N4</v>
      </c>
      <c r="W543" s="17">
        <f>COUNTIF(Template!$M$3:$M$619,Template!$D543)</f>
        <v>0</v>
      </c>
      <c r="X543" s="17" t="str">
        <f>IF(Template!$F543="","",SUMIF(Template!$M$3:$M$619,Template!$D543,Template!$AC$3:$AC$619))</f>
        <v/>
      </c>
      <c r="Y543" s="17" t="str">
        <f>IFERROR(VLOOKUP(Template!$M543,Template!$D$3:$G$619,MATCH("EmployeeJobTitle",Template!$D$2:$G$2,0),FALSE),"NA")</f>
        <v>GERENTE DE LOJA JR</v>
      </c>
      <c r="Z543" s="17" t="str">
        <f>IFERROR(VLOOKUP(Template!$M543,Template!$D$3:$G$619,MATCH("EmployeeGroup",Template!$D$2:$G$2,0),FALSE),"NA")</f>
        <v>GERENTE</v>
      </c>
      <c r="AA543" s="17" t="str">
        <f>IFERROR(VLOOKUP(Template!$M543,Template!$D$3:$V$619,MATCH("Layer",Template!$D$2:$V$2,0),FALSE),"NA")</f>
        <v>N3</v>
      </c>
      <c r="AB543" s="21">
        <f>VLOOKUP(Template!$M543,Template!$D$3:$F$619,MATCH("InternalGrade",Template!$D$2:$F$2,0),FALSE)-Template!$F543</f>
        <v>0</v>
      </c>
      <c r="AC543" s="17">
        <f>IF(Template!$AB543&lt;=1, 0.8,IF(Template!$AB543=2,0.4,IF(Template!$AB543=3,0.2,IF(Template!$AB543=4,0.1,IF(Template!$AB543&gt;=5,0.05,"erro")))))</f>
        <v>0.8</v>
      </c>
      <c r="AD543" s="17" t="b">
        <f>Template!$D543=Template!$M543</f>
        <v>0</v>
      </c>
      <c r="AE543" s="12" t="s">
        <v>58</v>
      </c>
    </row>
    <row r="544" ht="15.75" customHeight="1">
      <c r="A544" s="7" t="s">
        <v>190</v>
      </c>
      <c r="B544" s="7" t="s">
        <v>209</v>
      </c>
      <c r="C544" s="7" t="s">
        <v>268</v>
      </c>
      <c r="D544" s="13">
        <v>22314.0</v>
      </c>
      <c r="E544" s="7" t="s">
        <v>204</v>
      </c>
      <c r="F544" s="13"/>
      <c r="G544" s="14" t="s">
        <v>63</v>
      </c>
      <c r="H544" s="7" t="s">
        <v>64</v>
      </c>
      <c r="I544" s="7" t="s">
        <v>269</v>
      </c>
      <c r="J544" s="7" t="s">
        <v>70</v>
      </c>
      <c r="K544" s="15">
        <v>44866.0</v>
      </c>
      <c r="L544" s="15">
        <v>36402.0</v>
      </c>
      <c r="M544" s="13">
        <v>21239.0</v>
      </c>
      <c r="N544" s="7"/>
      <c r="O544" s="7"/>
      <c r="P544" s="7">
        <v>13.33</v>
      </c>
      <c r="Q544" s="7"/>
      <c r="R544" s="20"/>
      <c r="S544" s="7"/>
      <c r="T544" s="20"/>
      <c r="U544" s="16">
        <f>SUM(Template!$N544:$O544)*Template!$P544+Template!$Q544</f>
        <v>0</v>
      </c>
      <c r="V544" s="17" t="str">
        <f>IF(Template!$M544="CONSELHO","N",IF(Template!$AA544="N","N1",IF(Template!$AA544="N1","N2",IF(Template!$AA544="N2","N3",IF(Template!$AA544="N3","N4",IF(Template!$AA544="N4","N5",IF(Template!$AA544="N5","N6",IF(Template!$AA544="N6","N7",IF(Template!$AA544="N7","N8",IF(Template!$AA544="N8","N9",IF(Template!$AA544="N9","N10","NA")))))))))))</f>
        <v>N4</v>
      </c>
      <c r="W544" s="17">
        <f>COUNTIF(Template!$M$3:$M$619,Template!$D544)</f>
        <v>0</v>
      </c>
      <c r="X544" s="17" t="str">
        <f>IF(Template!$F544="","",SUMIF(Template!$M$3:$M$619,Template!$D544,Template!$AC$3:$AC$619))</f>
        <v/>
      </c>
      <c r="Y544" s="17" t="str">
        <f>IFERROR(VLOOKUP(Template!$M544,Template!$D$3:$G$619,MATCH("EmployeeJobTitle",Template!$D$2:$G$2,0),FALSE),"NA")</f>
        <v>GERENTE DE LOJA</v>
      </c>
      <c r="Z544" s="17" t="str">
        <f>IFERROR(VLOOKUP(Template!$M544,Template!$D$3:$G$619,MATCH("EmployeeGroup",Template!$D$2:$G$2,0),FALSE),"NA")</f>
        <v>GERENTE</v>
      </c>
      <c r="AA544" s="17" t="str">
        <f>IFERROR(VLOOKUP(Template!$M544,Template!$D$3:$V$619,MATCH("Layer",Template!$D$2:$V$2,0),FALSE),"NA")</f>
        <v>N3</v>
      </c>
      <c r="AB544" s="21">
        <f>VLOOKUP(Template!$M544,Template!$D$3:$F$619,MATCH("InternalGrade",Template!$D$2:$F$2,0),FALSE)-Template!$F544</f>
        <v>0</v>
      </c>
      <c r="AC544" s="17">
        <f>IF(Template!$AB544&lt;=1, 0.8,IF(Template!$AB544=2,0.4,IF(Template!$AB544=3,0.2,IF(Template!$AB544=4,0.1,IF(Template!$AB544&gt;=5,0.05,"erro")))))</f>
        <v>0.8</v>
      </c>
      <c r="AD544" s="17" t="b">
        <f>Template!$D544=Template!$M544</f>
        <v>0</v>
      </c>
      <c r="AE544" s="12" t="s">
        <v>58</v>
      </c>
    </row>
    <row r="545" ht="15.75" customHeight="1">
      <c r="A545" s="7" t="s">
        <v>190</v>
      </c>
      <c r="B545" s="7" t="s">
        <v>209</v>
      </c>
      <c r="C545" s="7" t="s">
        <v>268</v>
      </c>
      <c r="D545" s="13">
        <v>25309.0</v>
      </c>
      <c r="E545" s="7" t="s">
        <v>193</v>
      </c>
      <c r="F545" s="13"/>
      <c r="G545" s="14" t="s">
        <v>63</v>
      </c>
      <c r="H545" s="7" t="s">
        <v>64</v>
      </c>
      <c r="I545" s="7" t="s">
        <v>269</v>
      </c>
      <c r="J545" s="7" t="s">
        <v>70</v>
      </c>
      <c r="K545" s="15">
        <v>45516.0</v>
      </c>
      <c r="L545" s="15">
        <v>34120.0</v>
      </c>
      <c r="M545" s="13">
        <v>21239.0</v>
      </c>
      <c r="N545" s="7"/>
      <c r="O545" s="7"/>
      <c r="P545" s="7">
        <v>13.33</v>
      </c>
      <c r="Q545" s="7"/>
      <c r="R545" s="20"/>
      <c r="S545" s="7"/>
      <c r="T545" s="20"/>
      <c r="U545" s="16">
        <f>SUM(Template!$N545:$O545)*Template!$P545+Template!$Q545</f>
        <v>0</v>
      </c>
      <c r="V545" s="17" t="str">
        <f>IF(Template!$M545="CONSELHO","N",IF(Template!$AA545="N","N1",IF(Template!$AA545="N1","N2",IF(Template!$AA545="N2","N3",IF(Template!$AA545="N3","N4",IF(Template!$AA545="N4","N5",IF(Template!$AA545="N5","N6",IF(Template!$AA545="N6","N7",IF(Template!$AA545="N7","N8",IF(Template!$AA545="N8","N9",IF(Template!$AA545="N9","N10","NA")))))))))))</f>
        <v>N4</v>
      </c>
      <c r="W545" s="17">
        <f>COUNTIF(Template!$M$3:$M$619,Template!$D545)</f>
        <v>0</v>
      </c>
      <c r="X545" s="17" t="str">
        <f>IF(Template!$F545="","",SUMIF(Template!$M$3:$M$619,Template!$D545,Template!$AC$3:$AC$619))</f>
        <v/>
      </c>
      <c r="Y545" s="17" t="str">
        <f>IFERROR(VLOOKUP(Template!$M545,Template!$D$3:$G$619,MATCH("EmployeeJobTitle",Template!$D$2:$G$2,0),FALSE),"NA")</f>
        <v>GERENTE DE LOJA</v>
      </c>
      <c r="Z545" s="17" t="str">
        <f>IFERROR(VLOOKUP(Template!$M545,Template!$D$3:$G$619,MATCH("EmployeeGroup",Template!$D$2:$G$2,0),FALSE),"NA")</f>
        <v>GERENTE</v>
      </c>
      <c r="AA545" s="17" t="str">
        <f>IFERROR(VLOOKUP(Template!$M545,Template!$D$3:$V$619,MATCH("Layer",Template!$D$2:$V$2,0),FALSE),"NA")</f>
        <v>N3</v>
      </c>
      <c r="AB545" s="21">
        <f>VLOOKUP(Template!$M545,Template!$D$3:$F$619,MATCH("InternalGrade",Template!$D$2:$F$2,0),FALSE)-Template!$F545</f>
        <v>0</v>
      </c>
      <c r="AC545" s="17">
        <f>IF(Template!$AB545&lt;=1, 0.8,IF(Template!$AB545=2,0.4,IF(Template!$AB545=3,0.2,IF(Template!$AB545=4,0.1,IF(Template!$AB545&gt;=5,0.05,"erro")))))</f>
        <v>0.8</v>
      </c>
      <c r="AD545" s="17" t="b">
        <f>Template!$D545=Template!$M545</f>
        <v>0</v>
      </c>
      <c r="AE545" s="12" t="s">
        <v>58</v>
      </c>
    </row>
    <row r="546" ht="15.75" customHeight="1">
      <c r="A546" s="7" t="s">
        <v>190</v>
      </c>
      <c r="B546" s="7" t="s">
        <v>209</v>
      </c>
      <c r="C546" s="7" t="s">
        <v>268</v>
      </c>
      <c r="D546" s="13">
        <v>21323.0</v>
      </c>
      <c r="E546" s="7" t="s">
        <v>193</v>
      </c>
      <c r="F546" s="13"/>
      <c r="G546" s="14" t="s">
        <v>63</v>
      </c>
      <c r="H546" s="7" t="s">
        <v>64</v>
      </c>
      <c r="I546" s="7" t="s">
        <v>269</v>
      </c>
      <c r="J546" s="7" t="s">
        <v>70</v>
      </c>
      <c r="K546" s="15">
        <v>44781.0</v>
      </c>
      <c r="L546" s="15">
        <v>36937.0</v>
      </c>
      <c r="M546" s="13">
        <v>21239.0</v>
      </c>
      <c r="N546" s="7"/>
      <c r="O546" s="7"/>
      <c r="P546" s="7">
        <v>13.33</v>
      </c>
      <c r="Q546" s="7"/>
      <c r="R546" s="20"/>
      <c r="S546" s="7"/>
      <c r="T546" s="20"/>
      <c r="U546" s="16">
        <f>SUM(Template!$N546:$O546)*Template!$P546+Template!$Q546</f>
        <v>0</v>
      </c>
      <c r="V546" s="17" t="str">
        <f>IF(Template!$M546="CONSELHO","N",IF(Template!$AA546="N","N1",IF(Template!$AA546="N1","N2",IF(Template!$AA546="N2","N3",IF(Template!$AA546="N3","N4",IF(Template!$AA546="N4","N5",IF(Template!$AA546="N5","N6",IF(Template!$AA546="N6","N7",IF(Template!$AA546="N7","N8",IF(Template!$AA546="N8","N9",IF(Template!$AA546="N9","N10","NA")))))))))))</f>
        <v>N4</v>
      </c>
      <c r="W546" s="17">
        <f>COUNTIF(Template!$M$3:$M$619,Template!$D546)</f>
        <v>0</v>
      </c>
      <c r="X546" s="17" t="str">
        <f>IF(Template!$F546="","",SUMIF(Template!$M$3:$M$619,Template!$D546,Template!$AC$3:$AC$619))</f>
        <v/>
      </c>
      <c r="Y546" s="17" t="str">
        <f>IFERROR(VLOOKUP(Template!$M546,Template!$D$3:$G$619,MATCH("EmployeeJobTitle",Template!$D$2:$G$2,0),FALSE),"NA")</f>
        <v>GERENTE DE LOJA</v>
      </c>
      <c r="Z546" s="17" t="str">
        <f>IFERROR(VLOOKUP(Template!$M546,Template!$D$3:$G$619,MATCH("EmployeeGroup",Template!$D$2:$G$2,0),FALSE),"NA")</f>
        <v>GERENTE</v>
      </c>
      <c r="AA546" s="17" t="str">
        <f>IFERROR(VLOOKUP(Template!$M546,Template!$D$3:$V$619,MATCH("Layer",Template!$D$2:$V$2,0),FALSE),"NA")</f>
        <v>N3</v>
      </c>
      <c r="AB546" s="21">
        <f>VLOOKUP(Template!$M546,Template!$D$3:$F$619,MATCH("InternalGrade",Template!$D$2:$F$2,0),FALSE)-Template!$F546</f>
        <v>0</v>
      </c>
      <c r="AC546" s="17">
        <f>IF(Template!$AB546&lt;=1, 0.8,IF(Template!$AB546=2,0.4,IF(Template!$AB546=3,0.2,IF(Template!$AB546=4,0.1,IF(Template!$AB546&gt;=5,0.05,"erro")))))</f>
        <v>0.8</v>
      </c>
      <c r="AD546" s="17" t="b">
        <f>Template!$D546=Template!$M546</f>
        <v>0</v>
      </c>
      <c r="AE546" s="12" t="s">
        <v>58</v>
      </c>
    </row>
    <row r="547" ht="15.75" customHeight="1">
      <c r="A547" s="7" t="s">
        <v>190</v>
      </c>
      <c r="B547" s="7" t="s">
        <v>209</v>
      </c>
      <c r="C547" s="7" t="s">
        <v>268</v>
      </c>
      <c r="D547" s="13">
        <v>24159.0</v>
      </c>
      <c r="E547" s="7" t="s">
        <v>203</v>
      </c>
      <c r="F547" s="13"/>
      <c r="G547" s="14" t="s">
        <v>63</v>
      </c>
      <c r="H547" s="7" t="s">
        <v>64</v>
      </c>
      <c r="I547" s="7" t="s">
        <v>269</v>
      </c>
      <c r="J547" s="7" t="s">
        <v>70</v>
      </c>
      <c r="K547" s="15">
        <v>45124.0</v>
      </c>
      <c r="L547" s="15">
        <v>36575.0</v>
      </c>
      <c r="M547" s="13">
        <v>21239.0</v>
      </c>
      <c r="N547" s="7"/>
      <c r="O547" s="7"/>
      <c r="P547" s="7">
        <v>13.33</v>
      </c>
      <c r="Q547" s="7"/>
      <c r="R547" s="20"/>
      <c r="S547" s="7"/>
      <c r="T547" s="20"/>
      <c r="U547" s="16">
        <f>SUM(Template!$N547:$O547)*Template!$P547+Template!$Q547</f>
        <v>0</v>
      </c>
      <c r="V547" s="17" t="str">
        <f>IF(Template!$M547="CONSELHO","N",IF(Template!$AA547="N","N1",IF(Template!$AA547="N1","N2",IF(Template!$AA547="N2","N3",IF(Template!$AA547="N3","N4",IF(Template!$AA547="N4","N5",IF(Template!$AA547="N5","N6",IF(Template!$AA547="N6","N7",IF(Template!$AA547="N7","N8",IF(Template!$AA547="N8","N9",IF(Template!$AA547="N9","N10","NA")))))))))))</f>
        <v>N4</v>
      </c>
      <c r="W547" s="17">
        <f>COUNTIF(Template!$M$3:$M$619,Template!$D547)</f>
        <v>0</v>
      </c>
      <c r="X547" s="17" t="str">
        <f>IF(Template!$F547="","",SUMIF(Template!$M$3:$M$619,Template!$D547,Template!$AC$3:$AC$619))</f>
        <v/>
      </c>
      <c r="Y547" s="17" t="str">
        <f>IFERROR(VLOOKUP(Template!$M547,Template!$D$3:$G$619,MATCH("EmployeeJobTitle",Template!$D$2:$G$2,0),FALSE),"NA")</f>
        <v>GERENTE DE LOJA</v>
      </c>
      <c r="Z547" s="17" t="str">
        <f>IFERROR(VLOOKUP(Template!$M547,Template!$D$3:$G$619,MATCH("EmployeeGroup",Template!$D$2:$G$2,0),FALSE),"NA")</f>
        <v>GERENTE</v>
      </c>
      <c r="AA547" s="17" t="str">
        <f>IFERROR(VLOOKUP(Template!$M547,Template!$D$3:$V$619,MATCH("Layer",Template!$D$2:$V$2,0),FALSE),"NA")</f>
        <v>N3</v>
      </c>
      <c r="AB547" s="21">
        <f>VLOOKUP(Template!$M547,Template!$D$3:$F$619,MATCH("InternalGrade",Template!$D$2:$F$2,0),FALSE)-Template!$F547</f>
        <v>0</v>
      </c>
      <c r="AC547" s="17">
        <f>IF(Template!$AB547&lt;=1, 0.8,IF(Template!$AB547=2,0.4,IF(Template!$AB547=3,0.2,IF(Template!$AB547=4,0.1,IF(Template!$AB547&gt;=5,0.05,"erro")))))</f>
        <v>0.8</v>
      </c>
      <c r="AD547" s="17" t="b">
        <f>Template!$D547=Template!$M547</f>
        <v>0</v>
      </c>
      <c r="AE547" s="12" t="s">
        <v>58</v>
      </c>
    </row>
    <row r="548" ht="15.75" customHeight="1">
      <c r="A548" s="7" t="s">
        <v>190</v>
      </c>
      <c r="B548" s="7" t="s">
        <v>209</v>
      </c>
      <c r="C548" s="7" t="s">
        <v>268</v>
      </c>
      <c r="D548" s="13">
        <v>22990.0</v>
      </c>
      <c r="E548" s="7" t="s">
        <v>193</v>
      </c>
      <c r="F548" s="13"/>
      <c r="G548" s="14" t="s">
        <v>63</v>
      </c>
      <c r="H548" s="7" t="s">
        <v>64</v>
      </c>
      <c r="I548" s="7" t="s">
        <v>269</v>
      </c>
      <c r="J548" s="7" t="s">
        <v>70</v>
      </c>
      <c r="K548" s="15">
        <v>44896.0</v>
      </c>
      <c r="L548" s="15">
        <v>36076.0</v>
      </c>
      <c r="M548" s="13">
        <v>21239.0</v>
      </c>
      <c r="N548" s="7"/>
      <c r="O548" s="7"/>
      <c r="P548" s="7">
        <v>13.33</v>
      </c>
      <c r="Q548" s="7"/>
      <c r="R548" s="20"/>
      <c r="S548" s="7"/>
      <c r="T548" s="20"/>
      <c r="U548" s="16">
        <f>SUM(Template!$N548:$O548)*Template!$P548+Template!$Q548</f>
        <v>0</v>
      </c>
      <c r="V548" s="17" t="str">
        <f>IF(Template!$M548="CONSELHO","N",IF(Template!$AA548="N","N1",IF(Template!$AA548="N1","N2",IF(Template!$AA548="N2","N3",IF(Template!$AA548="N3","N4",IF(Template!$AA548="N4","N5",IF(Template!$AA548="N5","N6",IF(Template!$AA548="N6","N7",IF(Template!$AA548="N7","N8",IF(Template!$AA548="N8","N9",IF(Template!$AA548="N9","N10","NA")))))))))))</f>
        <v>N4</v>
      </c>
      <c r="W548" s="17">
        <f>COUNTIF(Template!$M$3:$M$619,Template!$D548)</f>
        <v>0</v>
      </c>
      <c r="X548" s="17" t="str">
        <f>IF(Template!$F548="","",SUMIF(Template!$M$3:$M$619,Template!$D548,Template!$AC$3:$AC$619))</f>
        <v/>
      </c>
      <c r="Y548" s="17" t="str">
        <f>IFERROR(VLOOKUP(Template!$M548,Template!$D$3:$G$619,MATCH("EmployeeJobTitle",Template!$D$2:$G$2,0),FALSE),"NA")</f>
        <v>GERENTE DE LOJA</v>
      </c>
      <c r="Z548" s="17" t="str">
        <f>IFERROR(VLOOKUP(Template!$M548,Template!$D$3:$G$619,MATCH("EmployeeGroup",Template!$D$2:$G$2,0),FALSE),"NA")</f>
        <v>GERENTE</v>
      </c>
      <c r="AA548" s="17" t="str">
        <f>IFERROR(VLOOKUP(Template!$M548,Template!$D$3:$V$619,MATCH("Layer",Template!$D$2:$V$2,0),FALSE),"NA")</f>
        <v>N3</v>
      </c>
      <c r="AB548" s="21">
        <f>VLOOKUP(Template!$M548,Template!$D$3:$F$619,MATCH("InternalGrade",Template!$D$2:$F$2,0),FALSE)-Template!$F548</f>
        <v>0</v>
      </c>
      <c r="AC548" s="17">
        <f>IF(Template!$AB548&lt;=1, 0.8,IF(Template!$AB548=2,0.4,IF(Template!$AB548=3,0.2,IF(Template!$AB548=4,0.1,IF(Template!$AB548&gt;=5,0.05,"erro")))))</f>
        <v>0.8</v>
      </c>
      <c r="AD548" s="17" t="b">
        <f>Template!$D548=Template!$M548</f>
        <v>0</v>
      </c>
      <c r="AE548" s="12" t="s">
        <v>58</v>
      </c>
    </row>
    <row r="549" ht="15.75" customHeight="1">
      <c r="A549" s="7" t="s">
        <v>190</v>
      </c>
      <c r="B549" s="7" t="s">
        <v>209</v>
      </c>
      <c r="C549" s="7" t="s">
        <v>268</v>
      </c>
      <c r="D549" s="13">
        <v>25359.0</v>
      </c>
      <c r="E549" s="7" t="s">
        <v>196</v>
      </c>
      <c r="F549" s="13"/>
      <c r="G549" s="14" t="s">
        <v>63</v>
      </c>
      <c r="H549" s="7" t="s">
        <v>64</v>
      </c>
      <c r="I549" s="7" t="s">
        <v>269</v>
      </c>
      <c r="J549" s="7" t="s">
        <v>70</v>
      </c>
      <c r="K549" s="15">
        <v>45544.0</v>
      </c>
      <c r="L549" s="15">
        <v>37891.0</v>
      </c>
      <c r="M549" s="13">
        <v>21239.0</v>
      </c>
      <c r="N549" s="7">
        <v>2039.0</v>
      </c>
      <c r="O549" s="7"/>
      <c r="P549" s="7">
        <v>13.33</v>
      </c>
      <c r="Q549" s="7"/>
      <c r="R549" s="20"/>
      <c r="S549" s="7"/>
      <c r="T549" s="20"/>
      <c r="U549" s="16">
        <f>SUM(Template!$N549:$O549)*Template!$P549+Template!$Q549</f>
        <v>27179.87</v>
      </c>
      <c r="V549" s="17" t="str">
        <f>IF(Template!$M549="CONSELHO","N",IF(Template!$AA549="N","N1",IF(Template!$AA549="N1","N2",IF(Template!$AA549="N2","N3",IF(Template!$AA549="N3","N4",IF(Template!$AA549="N4","N5",IF(Template!$AA549="N5","N6",IF(Template!$AA549="N6","N7",IF(Template!$AA549="N7","N8",IF(Template!$AA549="N8","N9",IF(Template!$AA549="N9","N10","NA")))))))))))</f>
        <v>N4</v>
      </c>
      <c r="W549" s="17">
        <f>COUNTIF(Template!$M$3:$M$619,Template!$D549)</f>
        <v>0</v>
      </c>
      <c r="X549" s="17" t="str">
        <f>IF(Template!$F549="","",SUMIF(Template!$M$3:$M$619,Template!$D549,Template!$AC$3:$AC$619))</f>
        <v/>
      </c>
      <c r="Y549" s="17" t="str">
        <f>IFERROR(VLOOKUP(Template!$M549,Template!$D$3:$G$619,MATCH("EmployeeJobTitle",Template!$D$2:$G$2,0),FALSE),"NA")</f>
        <v>GERENTE DE LOJA</v>
      </c>
      <c r="Z549" s="17" t="str">
        <f>IFERROR(VLOOKUP(Template!$M549,Template!$D$3:$G$619,MATCH("EmployeeGroup",Template!$D$2:$G$2,0),FALSE),"NA")</f>
        <v>GERENTE</v>
      </c>
      <c r="AA549" s="17" t="str">
        <f>IFERROR(VLOOKUP(Template!$M549,Template!$D$3:$V$619,MATCH("Layer",Template!$D$2:$V$2,0),FALSE),"NA")</f>
        <v>N3</v>
      </c>
      <c r="AB549" s="21">
        <f>VLOOKUP(Template!$M549,Template!$D$3:$F$619,MATCH("InternalGrade",Template!$D$2:$F$2,0),FALSE)-Template!$F549</f>
        <v>0</v>
      </c>
      <c r="AC549" s="17">
        <f>IF(Template!$AB549&lt;=1, 0.8,IF(Template!$AB549=2,0.4,IF(Template!$AB549=3,0.2,IF(Template!$AB549=4,0.1,IF(Template!$AB549&gt;=5,0.05,"erro")))))</f>
        <v>0.8</v>
      </c>
      <c r="AD549" s="17" t="b">
        <f>Template!$D549=Template!$M549</f>
        <v>0</v>
      </c>
      <c r="AE549" s="12" t="s">
        <v>58</v>
      </c>
    </row>
    <row r="550" ht="15.75" customHeight="1">
      <c r="A550" s="7" t="s">
        <v>190</v>
      </c>
      <c r="B550" s="7" t="s">
        <v>209</v>
      </c>
      <c r="C550" s="7" t="s">
        <v>268</v>
      </c>
      <c r="D550" s="13">
        <v>21239.0</v>
      </c>
      <c r="E550" s="7" t="s">
        <v>199</v>
      </c>
      <c r="F550" s="13"/>
      <c r="G550" s="22" t="s">
        <v>200</v>
      </c>
      <c r="H550" s="7" t="s">
        <v>64</v>
      </c>
      <c r="I550" s="7" t="s">
        <v>269</v>
      </c>
      <c r="J550" s="7" t="s">
        <v>70</v>
      </c>
      <c r="K550" s="15">
        <v>44774.0</v>
      </c>
      <c r="L550" s="15">
        <v>32765.0</v>
      </c>
      <c r="M550" s="13">
        <v>18766.0</v>
      </c>
      <c r="N550" s="7">
        <v>4620.0</v>
      </c>
      <c r="O550" s="7"/>
      <c r="P550" s="7">
        <v>13.33</v>
      </c>
      <c r="Q550" s="7"/>
      <c r="R550" s="20"/>
      <c r="S550" s="7"/>
      <c r="T550" s="20"/>
      <c r="U550" s="16">
        <f>SUM(Template!$N550:$O550)*Template!$P550+Template!$Q550</f>
        <v>61584.6</v>
      </c>
      <c r="V550" s="17" t="str">
        <f>IF(Template!$M550="CONSELHO","N",IF(Template!$AA550="N","N1",IF(Template!$AA550="N1","N2",IF(Template!$AA550="N2","N3",IF(Template!$AA550="N3","N4",IF(Template!$AA550="N4","N5",IF(Template!$AA550="N5","N6",IF(Template!$AA550="N6","N7",IF(Template!$AA550="N7","N8",IF(Template!$AA550="N8","N9",IF(Template!$AA550="N9","N10","NA")))))))))))</f>
        <v>N3</v>
      </c>
      <c r="W550" s="17">
        <f>COUNTIF(Template!$M$3:$M$619,Template!$D550)</f>
        <v>6</v>
      </c>
      <c r="X550" s="17" t="str">
        <f>IF(Template!$F550="","",SUMIF(Template!$M$3:$M$619,Template!$D550,Template!$AC$3:$AC$619))</f>
        <v/>
      </c>
      <c r="Y550" s="17" t="str">
        <f>IFERROR(VLOOKUP(Template!$M550,Template!$D$3:$G$619,MATCH("EmployeeJobTitle",Template!$D$2:$G$2,0),FALSE),"NA")</f>
        <v>GERENTE COMERCIAL</v>
      </c>
      <c r="Z550" s="17" t="str">
        <f>IFERROR(VLOOKUP(Template!$M550,Template!$D$3:$G$619,MATCH("EmployeeGroup",Template!$D$2:$G$2,0),FALSE),"NA")</f>
        <v>Coordenador</v>
      </c>
      <c r="AA550" s="17" t="str">
        <f>IFERROR(VLOOKUP(Template!$M550,Template!$D$3:$V$619,MATCH("Layer",Template!$D$2:$V$2,0),FALSE),"NA")</f>
        <v>N2</v>
      </c>
      <c r="AB550" s="21">
        <f>VLOOKUP(Template!$M550,Template!$D$3:$F$619,MATCH("InternalGrade",Template!$D$2:$F$2,0),FALSE)-Template!$F550</f>
        <v>19</v>
      </c>
      <c r="AC550" s="17">
        <f>IF(Template!$AB550&lt;=1, 0.8,IF(Template!$AB550=2,0.4,IF(Template!$AB550=3,0.2,IF(Template!$AB550=4,0.1,IF(Template!$AB550&gt;=5,0.05,"erro")))))</f>
        <v>0.05</v>
      </c>
      <c r="AD550" s="17" t="b">
        <f>Template!$D550=Template!$M550</f>
        <v>0</v>
      </c>
      <c r="AE550" s="12" t="s">
        <v>58</v>
      </c>
    </row>
    <row r="551" ht="15.75" customHeight="1">
      <c r="A551" s="7" t="s">
        <v>190</v>
      </c>
      <c r="B551" s="7" t="s">
        <v>209</v>
      </c>
      <c r="C551" s="7" t="s">
        <v>270</v>
      </c>
      <c r="D551" s="13">
        <v>25435.0</v>
      </c>
      <c r="E551" s="7" t="s">
        <v>193</v>
      </c>
      <c r="F551" s="13"/>
      <c r="G551" s="14" t="s">
        <v>63</v>
      </c>
      <c r="H551" s="7" t="s">
        <v>64</v>
      </c>
      <c r="I551" s="7" t="s">
        <v>271</v>
      </c>
      <c r="J551" s="7" t="s">
        <v>70</v>
      </c>
      <c r="K551" s="15">
        <v>45572.0</v>
      </c>
      <c r="L551" s="15">
        <v>35202.0</v>
      </c>
      <c r="M551" s="13">
        <v>25082.0</v>
      </c>
      <c r="N551" s="7"/>
      <c r="O551" s="7"/>
      <c r="P551" s="7">
        <v>13.33</v>
      </c>
      <c r="Q551" s="7"/>
      <c r="R551" s="20"/>
      <c r="S551" s="7"/>
      <c r="T551" s="20"/>
      <c r="U551" s="16">
        <f>SUM(Template!$N551:$O551)*Template!$P551+Template!$Q551</f>
        <v>0</v>
      </c>
      <c r="V551" s="17" t="str">
        <f>IF(Template!$M551="CONSELHO","N",IF(Template!$AA551="N","N1",IF(Template!$AA551="N1","N2",IF(Template!$AA551="N2","N3",IF(Template!$AA551="N3","N4",IF(Template!$AA551="N4","N5",IF(Template!$AA551="N5","N6",IF(Template!$AA551="N6","N7",IF(Template!$AA551="N7","N8",IF(Template!$AA551="N8","N9",IF(Template!$AA551="N9","N10","NA")))))))))))</f>
        <v>N4</v>
      </c>
      <c r="W551" s="17">
        <f>COUNTIF(Template!$M$3:$M$619,Template!$D551)</f>
        <v>0</v>
      </c>
      <c r="X551" s="17" t="str">
        <f>IF(Template!$F551="","",SUMIF(Template!$M$3:$M$619,Template!$D551,Template!$AC$3:$AC$619))</f>
        <v/>
      </c>
      <c r="Y551" s="17" t="str">
        <f>IFERROR(VLOOKUP(Template!$M551,Template!$D$3:$G$619,MATCH("EmployeeJobTitle",Template!$D$2:$G$2,0),FALSE),"NA")</f>
        <v>GERENTE DE LOJA</v>
      </c>
      <c r="Z551" s="17" t="str">
        <f>IFERROR(VLOOKUP(Template!$M551,Template!$D$3:$G$619,MATCH("EmployeeGroup",Template!$D$2:$G$2,0),FALSE),"NA")</f>
        <v>GERENTE</v>
      </c>
      <c r="AA551" s="17" t="str">
        <f>IFERROR(VLOOKUP(Template!$M551,Template!$D$3:$V$619,MATCH("Layer",Template!$D$2:$V$2,0),FALSE),"NA")</f>
        <v>N3</v>
      </c>
      <c r="AB551" s="21">
        <f>VLOOKUP(Template!$M551,Template!$D$3:$F$619,MATCH("InternalGrade",Template!$D$2:$F$2,0),FALSE)-Template!$F551</f>
        <v>0</v>
      </c>
      <c r="AC551" s="17">
        <f>IF(Template!$AB551&lt;=1, 0.8,IF(Template!$AB551=2,0.4,IF(Template!$AB551=3,0.2,IF(Template!$AB551=4,0.1,IF(Template!$AB551&gt;=5,0.05,"erro")))))</f>
        <v>0.8</v>
      </c>
      <c r="AD551" s="17" t="b">
        <f>Template!$D551=Template!$M551</f>
        <v>0</v>
      </c>
      <c r="AE551" s="12" t="s">
        <v>58</v>
      </c>
    </row>
    <row r="552" ht="15.75" customHeight="1">
      <c r="A552" s="7" t="s">
        <v>190</v>
      </c>
      <c r="B552" s="7" t="s">
        <v>209</v>
      </c>
      <c r="C552" s="7" t="s">
        <v>270</v>
      </c>
      <c r="D552" s="13">
        <v>25205.0</v>
      </c>
      <c r="E552" s="7" t="s">
        <v>196</v>
      </c>
      <c r="F552" s="13"/>
      <c r="G552" s="14" t="s">
        <v>63</v>
      </c>
      <c r="H552" s="7" t="s">
        <v>64</v>
      </c>
      <c r="I552" s="7" t="s">
        <v>271</v>
      </c>
      <c r="J552" s="7" t="s">
        <v>70</v>
      </c>
      <c r="K552" s="15">
        <v>45488.0</v>
      </c>
      <c r="L552" s="15">
        <v>34470.0</v>
      </c>
      <c r="M552" s="13">
        <v>25082.0</v>
      </c>
      <c r="N552" s="7">
        <v>2046.0</v>
      </c>
      <c r="O552" s="7"/>
      <c r="P552" s="7">
        <v>13.33</v>
      </c>
      <c r="Q552" s="7"/>
      <c r="R552" s="20"/>
      <c r="S552" s="7"/>
      <c r="T552" s="20"/>
      <c r="U552" s="16">
        <f>SUM(Template!$N552:$O552)*Template!$P552+Template!$Q552</f>
        <v>27273.18</v>
      </c>
      <c r="V552" s="17" t="str">
        <f>IF(Template!$M552="CONSELHO","N",IF(Template!$AA552="N","N1",IF(Template!$AA552="N1","N2",IF(Template!$AA552="N2","N3",IF(Template!$AA552="N3","N4",IF(Template!$AA552="N4","N5",IF(Template!$AA552="N5","N6",IF(Template!$AA552="N6","N7",IF(Template!$AA552="N7","N8",IF(Template!$AA552="N8","N9",IF(Template!$AA552="N9","N10","NA")))))))))))</f>
        <v>N4</v>
      </c>
      <c r="W552" s="17">
        <f>COUNTIF(Template!$M$3:$M$619,Template!$D552)</f>
        <v>0</v>
      </c>
      <c r="X552" s="17" t="str">
        <f>IF(Template!$F552="","",SUMIF(Template!$M$3:$M$619,Template!$D552,Template!$AC$3:$AC$619))</f>
        <v/>
      </c>
      <c r="Y552" s="17" t="str">
        <f>IFERROR(VLOOKUP(Template!$M552,Template!$D$3:$G$619,MATCH("EmployeeJobTitle",Template!$D$2:$G$2,0),FALSE),"NA")</f>
        <v>GERENTE DE LOJA</v>
      </c>
      <c r="Z552" s="17" t="str">
        <f>IFERROR(VLOOKUP(Template!$M552,Template!$D$3:$G$619,MATCH("EmployeeGroup",Template!$D$2:$G$2,0),FALSE),"NA")</f>
        <v>GERENTE</v>
      </c>
      <c r="AA552" s="17" t="str">
        <f>IFERROR(VLOOKUP(Template!$M552,Template!$D$3:$V$619,MATCH("Layer",Template!$D$2:$V$2,0),FALSE),"NA")</f>
        <v>N3</v>
      </c>
      <c r="AB552" s="21">
        <f>VLOOKUP(Template!$M552,Template!$D$3:$F$619,MATCH("InternalGrade",Template!$D$2:$F$2,0),FALSE)-Template!$F552</f>
        <v>0</v>
      </c>
      <c r="AC552" s="17">
        <f>IF(Template!$AB552&lt;=1, 0.8,IF(Template!$AB552=2,0.4,IF(Template!$AB552=3,0.2,IF(Template!$AB552=4,0.1,IF(Template!$AB552&gt;=5,0.05,"erro")))))</f>
        <v>0.8</v>
      </c>
      <c r="AD552" s="17" t="b">
        <f>Template!$D552=Template!$M552</f>
        <v>0</v>
      </c>
      <c r="AE552" s="12" t="s">
        <v>58</v>
      </c>
    </row>
    <row r="553" ht="15.75" customHeight="1">
      <c r="A553" s="7" t="s">
        <v>190</v>
      </c>
      <c r="B553" s="7" t="s">
        <v>209</v>
      </c>
      <c r="C553" s="7" t="s">
        <v>270</v>
      </c>
      <c r="D553" s="13">
        <v>25260.0</v>
      </c>
      <c r="E553" s="7" t="s">
        <v>193</v>
      </c>
      <c r="F553" s="13"/>
      <c r="G553" s="14" t="s">
        <v>63</v>
      </c>
      <c r="H553" s="7" t="s">
        <v>64</v>
      </c>
      <c r="I553" s="7" t="s">
        <v>271</v>
      </c>
      <c r="J553" s="7" t="s">
        <v>70</v>
      </c>
      <c r="K553" s="15">
        <v>45509.0</v>
      </c>
      <c r="L553" s="15">
        <v>37700.0</v>
      </c>
      <c r="M553" s="13">
        <v>25082.0</v>
      </c>
      <c r="N553" s="7"/>
      <c r="O553" s="7"/>
      <c r="P553" s="7">
        <v>13.33</v>
      </c>
      <c r="Q553" s="7"/>
      <c r="R553" s="20"/>
      <c r="S553" s="7"/>
      <c r="T553" s="20"/>
      <c r="U553" s="16">
        <f>SUM(Template!$N553:$O553)*Template!$P553+Template!$Q553</f>
        <v>0</v>
      </c>
      <c r="V553" s="17" t="str">
        <f>IF(Template!$M553="CONSELHO","N",IF(Template!$AA553="N","N1",IF(Template!$AA553="N1","N2",IF(Template!$AA553="N2","N3",IF(Template!$AA553="N3","N4",IF(Template!$AA553="N4","N5",IF(Template!$AA553="N5","N6",IF(Template!$AA553="N6","N7",IF(Template!$AA553="N7","N8",IF(Template!$AA553="N8","N9",IF(Template!$AA553="N9","N10","NA")))))))))))</f>
        <v>N4</v>
      </c>
      <c r="W553" s="17">
        <f>COUNTIF(Template!$M$3:$M$619,Template!$D553)</f>
        <v>0</v>
      </c>
      <c r="X553" s="17" t="str">
        <f>IF(Template!$F553="","",SUMIF(Template!$M$3:$M$619,Template!$D553,Template!$AC$3:$AC$619))</f>
        <v/>
      </c>
      <c r="Y553" s="17" t="str">
        <f>IFERROR(VLOOKUP(Template!$M553,Template!$D$3:$G$619,MATCH("EmployeeJobTitle",Template!$D$2:$G$2,0),FALSE),"NA")</f>
        <v>GERENTE DE LOJA</v>
      </c>
      <c r="Z553" s="17" t="str">
        <f>IFERROR(VLOOKUP(Template!$M553,Template!$D$3:$G$619,MATCH("EmployeeGroup",Template!$D$2:$G$2,0),FALSE),"NA")</f>
        <v>GERENTE</v>
      </c>
      <c r="AA553" s="17" t="str">
        <f>IFERROR(VLOOKUP(Template!$M553,Template!$D$3:$V$619,MATCH("Layer",Template!$D$2:$V$2,0),FALSE),"NA")</f>
        <v>N3</v>
      </c>
      <c r="AB553" s="21">
        <f>VLOOKUP(Template!$M553,Template!$D$3:$F$619,MATCH("InternalGrade",Template!$D$2:$F$2,0),FALSE)-Template!$F553</f>
        <v>0</v>
      </c>
      <c r="AC553" s="17">
        <f>IF(Template!$AB553&lt;=1, 0.8,IF(Template!$AB553=2,0.4,IF(Template!$AB553=3,0.2,IF(Template!$AB553=4,0.1,IF(Template!$AB553&gt;=5,0.05,"erro")))))</f>
        <v>0.8</v>
      </c>
      <c r="AD553" s="17" t="b">
        <f>Template!$D553=Template!$M553</f>
        <v>0</v>
      </c>
      <c r="AE553" s="12" t="s">
        <v>58</v>
      </c>
    </row>
    <row r="554" ht="15.75" customHeight="1">
      <c r="A554" s="7" t="s">
        <v>190</v>
      </c>
      <c r="B554" s="7" t="s">
        <v>209</v>
      </c>
      <c r="C554" s="7" t="s">
        <v>270</v>
      </c>
      <c r="D554" s="13">
        <v>18898.0</v>
      </c>
      <c r="E554" s="7" t="s">
        <v>198</v>
      </c>
      <c r="F554" s="13"/>
      <c r="G554" s="14" t="s">
        <v>63</v>
      </c>
      <c r="H554" s="7" t="s">
        <v>64</v>
      </c>
      <c r="I554" s="7" t="s">
        <v>271</v>
      </c>
      <c r="J554" s="7" t="s">
        <v>70</v>
      </c>
      <c r="K554" s="15">
        <v>44148.0</v>
      </c>
      <c r="L554" s="15">
        <v>33730.0</v>
      </c>
      <c r="M554" s="13">
        <v>25082.0</v>
      </c>
      <c r="N554" s="7">
        <v>2075.0</v>
      </c>
      <c r="O554" s="7"/>
      <c r="P554" s="7">
        <v>13.33</v>
      </c>
      <c r="Q554" s="7"/>
      <c r="R554" s="20"/>
      <c r="S554" s="7"/>
      <c r="T554" s="20"/>
      <c r="U554" s="16">
        <f>SUM(Template!$N554:$O554)*Template!$P554+Template!$Q554</f>
        <v>27659.75</v>
      </c>
      <c r="V554" s="17" t="str">
        <f>IF(Template!$M554="CONSELHO","N",IF(Template!$AA554="N","N1",IF(Template!$AA554="N1","N2",IF(Template!$AA554="N2","N3",IF(Template!$AA554="N3","N4",IF(Template!$AA554="N4","N5",IF(Template!$AA554="N5","N6",IF(Template!$AA554="N6","N7",IF(Template!$AA554="N7","N8",IF(Template!$AA554="N8","N9",IF(Template!$AA554="N9","N10","NA")))))))))))</f>
        <v>N4</v>
      </c>
      <c r="W554" s="17">
        <f>COUNTIF(Template!$M$3:$M$619,Template!$D554)</f>
        <v>0</v>
      </c>
      <c r="X554" s="17" t="str">
        <f>IF(Template!$F554="","",SUMIF(Template!$M$3:$M$619,Template!$D554,Template!$AC$3:$AC$619))</f>
        <v/>
      </c>
      <c r="Y554" s="17" t="str">
        <f>IFERROR(VLOOKUP(Template!$M554,Template!$D$3:$G$619,MATCH("EmployeeJobTitle",Template!$D$2:$G$2,0),FALSE),"NA")</f>
        <v>GERENTE DE LOJA</v>
      </c>
      <c r="Z554" s="17" t="str">
        <f>IFERROR(VLOOKUP(Template!$M554,Template!$D$3:$G$619,MATCH("EmployeeGroup",Template!$D$2:$G$2,0),FALSE),"NA")</f>
        <v>GERENTE</v>
      </c>
      <c r="AA554" s="17" t="str">
        <f>IFERROR(VLOOKUP(Template!$M554,Template!$D$3:$V$619,MATCH("Layer",Template!$D$2:$V$2,0),FALSE),"NA")</f>
        <v>N3</v>
      </c>
      <c r="AB554" s="21">
        <f>VLOOKUP(Template!$M554,Template!$D$3:$F$619,MATCH("InternalGrade",Template!$D$2:$F$2,0),FALSE)-Template!$F554</f>
        <v>0</v>
      </c>
      <c r="AC554" s="17">
        <f>IF(Template!$AB554&lt;=1, 0.8,IF(Template!$AB554=2,0.4,IF(Template!$AB554=3,0.2,IF(Template!$AB554=4,0.1,IF(Template!$AB554&gt;=5,0.05,"erro")))))</f>
        <v>0.8</v>
      </c>
      <c r="AD554" s="17" t="b">
        <f>Template!$D554=Template!$M554</f>
        <v>0</v>
      </c>
      <c r="AE554" s="12" t="s">
        <v>58</v>
      </c>
    </row>
    <row r="555" ht="15.75" customHeight="1">
      <c r="A555" s="7" t="s">
        <v>190</v>
      </c>
      <c r="B555" s="7" t="s">
        <v>209</v>
      </c>
      <c r="C555" s="7" t="s">
        <v>270</v>
      </c>
      <c r="D555" s="13">
        <v>22935.0</v>
      </c>
      <c r="E555" s="7" t="s">
        <v>193</v>
      </c>
      <c r="F555" s="13"/>
      <c r="G555" s="14" t="s">
        <v>63</v>
      </c>
      <c r="H555" s="7" t="s">
        <v>64</v>
      </c>
      <c r="I555" s="7" t="s">
        <v>271</v>
      </c>
      <c r="J555" s="7" t="s">
        <v>70</v>
      </c>
      <c r="K555" s="15">
        <v>44896.0</v>
      </c>
      <c r="L555" s="15">
        <v>36486.0</v>
      </c>
      <c r="M555" s="13">
        <v>25082.0</v>
      </c>
      <c r="N555" s="7"/>
      <c r="O555" s="7"/>
      <c r="P555" s="7">
        <v>13.33</v>
      </c>
      <c r="Q555" s="7"/>
      <c r="R555" s="20"/>
      <c r="S555" s="7"/>
      <c r="T555" s="20"/>
      <c r="U555" s="16">
        <f>SUM(Template!$N555:$O555)*Template!$P555+Template!$Q555</f>
        <v>0</v>
      </c>
      <c r="V555" s="17" t="str">
        <f>IF(Template!$M555="CONSELHO","N",IF(Template!$AA555="N","N1",IF(Template!$AA555="N1","N2",IF(Template!$AA555="N2","N3",IF(Template!$AA555="N3","N4",IF(Template!$AA555="N4","N5",IF(Template!$AA555="N5","N6",IF(Template!$AA555="N6","N7",IF(Template!$AA555="N7","N8",IF(Template!$AA555="N8","N9",IF(Template!$AA555="N9","N10","NA")))))))))))</f>
        <v>N4</v>
      </c>
      <c r="W555" s="17">
        <f>COUNTIF(Template!$M$3:$M$619,Template!$D555)</f>
        <v>0</v>
      </c>
      <c r="X555" s="17" t="str">
        <f>IF(Template!$F555="","",SUMIF(Template!$M$3:$M$619,Template!$D555,Template!$AC$3:$AC$619))</f>
        <v/>
      </c>
      <c r="Y555" s="17" t="str">
        <f>IFERROR(VLOOKUP(Template!$M555,Template!$D$3:$G$619,MATCH("EmployeeJobTitle",Template!$D$2:$G$2,0),FALSE),"NA")</f>
        <v>GERENTE DE LOJA</v>
      </c>
      <c r="Z555" s="17" t="str">
        <f>IFERROR(VLOOKUP(Template!$M555,Template!$D$3:$G$619,MATCH("EmployeeGroup",Template!$D$2:$G$2,0),FALSE),"NA")</f>
        <v>GERENTE</v>
      </c>
      <c r="AA555" s="17" t="str">
        <f>IFERROR(VLOOKUP(Template!$M555,Template!$D$3:$V$619,MATCH("Layer",Template!$D$2:$V$2,0),FALSE),"NA")</f>
        <v>N3</v>
      </c>
      <c r="AB555" s="21">
        <f>VLOOKUP(Template!$M555,Template!$D$3:$F$619,MATCH("InternalGrade",Template!$D$2:$F$2,0),FALSE)-Template!$F555</f>
        <v>0</v>
      </c>
      <c r="AC555" s="17">
        <f>IF(Template!$AB555&lt;=1, 0.8,IF(Template!$AB555=2,0.4,IF(Template!$AB555=3,0.2,IF(Template!$AB555=4,0.1,IF(Template!$AB555&gt;=5,0.05,"erro")))))</f>
        <v>0.8</v>
      </c>
      <c r="AD555" s="17" t="b">
        <f>Template!$D555=Template!$M555</f>
        <v>0</v>
      </c>
      <c r="AE555" s="12" t="s">
        <v>58</v>
      </c>
    </row>
    <row r="556" ht="15.75" customHeight="1">
      <c r="A556" s="7" t="s">
        <v>190</v>
      </c>
      <c r="B556" s="7" t="s">
        <v>209</v>
      </c>
      <c r="C556" s="7" t="s">
        <v>270</v>
      </c>
      <c r="D556" s="13">
        <v>20507.0</v>
      </c>
      <c r="E556" s="7" t="s">
        <v>193</v>
      </c>
      <c r="F556" s="13"/>
      <c r="G556" s="14" t="s">
        <v>63</v>
      </c>
      <c r="H556" s="7" t="s">
        <v>64</v>
      </c>
      <c r="I556" s="7" t="s">
        <v>271</v>
      </c>
      <c r="J556" s="7" t="s">
        <v>70</v>
      </c>
      <c r="K556" s="15">
        <v>44676.0</v>
      </c>
      <c r="L556" s="15">
        <v>35473.0</v>
      </c>
      <c r="M556" s="13">
        <v>25082.0</v>
      </c>
      <c r="N556" s="7"/>
      <c r="O556" s="7"/>
      <c r="P556" s="7">
        <v>13.33</v>
      </c>
      <c r="Q556" s="7"/>
      <c r="R556" s="20"/>
      <c r="S556" s="7"/>
      <c r="T556" s="20"/>
      <c r="U556" s="16">
        <f>SUM(Template!$N556:$O556)*Template!$P556+Template!$Q556</f>
        <v>0</v>
      </c>
      <c r="V556" s="17" t="str">
        <f>IF(Template!$M556="CONSELHO","N",IF(Template!$AA556="N","N1",IF(Template!$AA556="N1","N2",IF(Template!$AA556="N2","N3",IF(Template!$AA556="N3","N4",IF(Template!$AA556="N4","N5",IF(Template!$AA556="N5","N6",IF(Template!$AA556="N6","N7",IF(Template!$AA556="N7","N8",IF(Template!$AA556="N8","N9",IF(Template!$AA556="N9","N10","NA")))))))))))</f>
        <v>N4</v>
      </c>
      <c r="W556" s="17">
        <f>COUNTIF(Template!$M$3:$M$619,Template!$D556)</f>
        <v>0</v>
      </c>
      <c r="X556" s="17" t="str">
        <f>IF(Template!$F556="","",SUMIF(Template!$M$3:$M$619,Template!$D556,Template!$AC$3:$AC$619))</f>
        <v/>
      </c>
      <c r="Y556" s="17" t="str">
        <f>IFERROR(VLOOKUP(Template!$M556,Template!$D$3:$G$619,MATCH("EmployeeJobTitle",Template!$D$2:$G$2,0),FALSE),"NA")</f>
        <v>GERENTE DE LOJA</v>
      </c>
      <c r="Z556" s="17" t="str">
        <f>IFERROR(VLOOKUP(Template!$M556,Template!$D$3:$G$619,MATCH("EmployeeGroup",Template!$D$2:$G$2,0),FALSE),"NA")</f>
        <v>GERENTE</v>
      </c>
      <c r="AA556" s="17" t="str">
        <f>IFERROR(VLOOKUP(Template!$M556,Template!$D$3:$V$619,MATCH("Layer",Template!$D$2:$V$2,0),FALSE),"NA")</f>
        <v>N3</v>
      </c>
      <c r="AB556" s="21">
        <f>VLOOKUP(Template!$M556,Template!$D$3:$F$619,MATCH("InternalGrade",Template!$D$2:$F$2,0),FALSE)-Template!$F556</f>
        <v>0</v>
      </c>
      <c r="AC556" s="17">
        <f>IF(Template!$AB556&lt;=1, 0.8,IF(Template!$AB556=2,0.4,IF(Template!$AB556=3,0.2,IF(Template!$AB556=4,0.1,IF(Template!$AB556&gt;=5,0.05,"erro")))))</f>
        <v>0.8</v>
      </c>
      <c r="AD556" s="17" t="b">
        <f>Template!$D556=Template!$M556</f>
        <v>0</v>
      </c>
      <c r="AE556" s="12" t="s">
        <v>58</v>
      </c>
    </row>
    <row r="557" ht="15.75" customHeight="1">
      <c r="A557" s="7" t="s">
        <v>190</v>
      </c>
      <c r="B557" s="7" t="s">
        <v>209</v>
      </c>
      <c r="C557" s="7" t="s">
        <v>270</v>
      </c>
      <c r="D557" s="13">
        <v>25082.0</v>
      </c>
      <c r="E557" s="7" t="s">
        <v>199</v>
      </c>
      <c r="F557" s="13"/>
      <c r="G557" s="22" t="s">
        <v>200</v>
      </c>
      <c r="H557" s="7" t="s">
        <v>64</v>
      </c>
      <c r="I557" s="7" t="s">
        <v>271</v>
      </c>
      <c r="J557" s="7" t="s">
        <v>70</v>
      </c>
      <c r="K557" s="15">
        <v>45433.0</v>
      </c>
      <c r="L557" s="15">
        <v>29030.0</v>
      </c>
      <c r="M557" s="13">
        <v>18766.0</v>
      </c>
      <c r="N557" s="7">
        <v>4184.0</v>
      </c>
      <c r="O557" s="7"/>
      <c r="P557" s="7">
        <v>13.33</v>
      </c>
      <c r="Q557" s="7"/>
      <c r="R557" s="20"/>
      <c r="S557" s="7"/>
      <c r="T557" s="20"/>
      <c r="U557" s="16">
        <f>SUM(Template!$N557:$O557)*Template!$P557+Template!$Q557</f>
        <v>55772.72</v>
      </c>
      <c r="V557" s="17" t="str">
        <f>IF(Template!$M557="CONSELHO","N",IF(Template!$AA557="N","N1",IF(Template!$AA557="N1","N2",IF(Template!$AA557="N2","N3",IF(Template!$AA557="N3","N4",IF(Template!$AA557="N4","N5",IF(Template!$AA557="N5","N6",IF(Template!$AA557="N6","N7",IF(Template!$AA557="N7","N8",IF(Template!$AA557="N8","N9",IF(Template!$AA557="N9","N10","NA")))))))))))</f>
        <v>N3</v>
      </c>
      <c r="W557" s="17">
        <f>COUNTIF(Template!$M$3:$M$619,Template!$D557)</f>
        <v>13</v>
      </c>
      <c r="X557" s="17" t="str">
        <f>IF(Template!$F557="","",SUMIF(Template!$M$3:$M$619,Template!$D557,Template!$AC$3:$AC$619))</f>
        <v/>
      </c>
      <c r="Y557" s="17" t="str">
        <f>IFERROR(VLOOKUP(Template!$M557,Template!$D$3:$G$619,MATCH("EmployeeJobTitle",Template!$D$2:$G$2,0),FALSE),"NA")</f>
        <v>GERENTE COMERCIAL</v>
      </c>
      <c r="Z557" s="17" t="str">
        <f>IFERROR(VLOOKUP(Template!$M557,Template!$D$3:$G$619,MATCH("EmployeeGroup",Template!$D$2:$G$2,0),FALSE),"NA")</f>
        <v>Coordenador</v>
      </c>
      <c r="AA557" s="17" t="str">
        <f>IFERROR(VLOOKUP(Template!$M557,Template!$D$3:$V$619,MATCH("Layer",Template!$D$2:$V$2,0),FALSE),"NA")</f>
        <v>N2</v>
      </c>
      <c r="AB557" s="21">
        <f>VLOOKUP(Template!$M557,Template!$D$3:$F$619,MATCH("InternalGrade",Template!$D$2:$F$2,0),FALSE)-Template!$F557</f>
        <v>19</v>
      </c>
      <c r="AC557" s="17">
        <f>IF(Template!$AB557&lt;=1, 0.8,IF(Template!$AB557=2,0.4,IF(Template!$AB557=3,0.2,IF(Template!$AB557=4,0.1,IF(Template!$AB557&gt;=5,0.05,"erro")))))</f>
        <v>0.05</v>
      </c>
      <c r="AD557" s="17" t="b">
        <f>Template!$D557=Template!$M557</f>
        <v>0</v>
      </c>
      <c r="AE557" s="12" t="s">
        <v>58</v>
      </c>
    </row>
    <row r="558" ht="15.75" customHeight="1">
      <c r="A558" s="7" t="s">
        <v>190</v>
      </c>
      <c r="B558" s="7" t="s">
        <v>209</v>
      </c>
      <c r="C558" s="7" t="s">
        <v>270</v>
      </c>
      <c r="D558" s="13">
        <v>22215.0</v>
      </c>
      <c r="E558" s="7" t="s">
        <v>193</v>
      </c>
      <c r="F558" s="13"/>
      <c r="G558" s="14" t="s">
        <v>63</v>
      </c>
      <c r="H558" s="7" t="s">
        <v>64</v>
      </c>
      <c r="I558" s="7" t="s">
        <v>271</v>
      </c>
      <c r="J558" s="7" t="s">
        <v>70</v>
      </c>
      <c r="K558" s="15">
        <v>44854.0</v>
      </c>
      <c r="L558" s="15">
        <v>35060.0</v>
      </c>
      <c r="M558" s="13">
        <v>25082.0</v>
      </c>
      <c r="N558" s="7"/>
      <c r="O558" s="7"/>
      <c r="P558" s="7">
        <v>13.33</v>
      </c>
      <c r="Q558" s="7"/>
      <c r="R558" s="20"/>
      <c r="S558" s="7"/>
      <c r="T558" s="20"/>
      <c r="U558" s="16">
        <f>SUM(Template!$N558:$O558)*Template!$P558+Template!$Q558</f>
        <v>0</v>
      </c>
      <c r="V558" s="17" t="str">
        <f>IF(Template!$M558="CONSELHO","N",IF(Template!$AA558="N","N1",IF(Template!$AA558="N1","N2",IF(Template!$AA558="N2","N3",IF(Template!$AA558="N3","N4",IF(Template!$AA558="N4","N5",IF(Template!$AA558="N5","N6",IF(Template!$AA558="N6","N7",IF(Template!$AA558="N7","N8",IF(Template!$AA558="N8","N9",IF(Template!$AA558="N9","N10","NA")))))))))))</f>
        <v>N4</v>
      </c>
      <c r="W558" s="17">
        <f>COUNTIF(Template!$M$3:$M$619,Template!$D558)</f>
        <v>0</v>
      </c>
      <c r="X558" s="17" t="str">
        <f>IF(Template!$F558="","",SUMIF(Template!$M$3:$M$619,Template!$D558,Template!$AC$3:$AC$619))</f>
        <v/>
      </c>
      <c r="Y558" s="17" t="str">
        <f>IFERROR(VLOOKUP(Template!$M558,Template!$D$3:$G$619,MATCH("EmployeeJobTitle",Template!$D$2:$G$2,0),FALSE),"NA")</f>
        <v>GERENTE DE LOJA</v>
      </c>
      <c r="Z558" s="17" t="str">
        <f>IFERROR(VLOOKUP(Template!$M558,Template!$D$3:$G$619,MATCH("EmployeeGroup",Template!$D$2:$G$2,0),FALSE),"NA")</f>
        <v>GERENTE</v>
      </c>
      <c r="AA558" s="17" t="str">
        <f>IFERROR(VLOOKUP(Template!$M558,Template!$D$3:$V$619,MATCH("Layer",Template!$D$2:$V$2,0),FALSE),"NA")</f>
        <v>N3</v>
      </c>
      <c r="AB558" s="21">
        <f>VLOOKUP(Template!$M558,Template!$D$3:$F$619,MATCH("InternalGrade",Template!$D$2:$F$2,0),FALSE)-Template!$F558</f>
        <v>0</v>
      </c>
      <c r="AC558" s="17">
        <f>IF(Template!$AB558&lt;=1, 0.8,IF(Template!$AB558=2,0.4,IF(Template!$AB558=3,0.2,IF(Template!$AB558=4,0.1,IF(Template!$AB558&gt;=5,0.05,"erro")))))</f>
        <v>0.8</v>
      </c>
      <c r="AD558" s="17" t="b">
        <f>Template!$D558=Template!$M558</f>
        <v>0</v>
      </c>
      <c r="AE558" s="12" t="s">
        <v>58</v>
      </c>
    </row>
    <row r="559" ht="15.75" customHeight="1">
      <c r="A559" s="7" t="s">
        <v>190</v>
      </c>
      <c r="B559" s="7" t="s">
        <v>209</v>
      </c>
      <c r="C559" s="7" t="s">
        <v>270</v>
      </c>
      <c r="D559" s="13">
        <v>24009.0</v>
      </c>
      <c r="E559" s="7" t="s">
        <v>196</v>
      </c>
      <c r="F559" s="13"/>
      <c r="G559" s="14" t="s">
        <v>63</v>
      </c>
      <c r="H559" s="7" t="s">
        <v>64</v>
      </c>
      <c r="I559" s="7" t="s">
        <v>271</v>
      </c>
      <c r="J559" s="7" t="s">
        <v>70</v>
      </c>
      <c r="K559" s="15">
        <v>45054.0</v>
      </c>
      <c r="L559" s="15">
        <v>37845.0</v>
      </c>
      <c r="M559" s="13">
        <v>25082.0</v>
      </c>
      <c r="N559" s="7">
        <v>2046.0</v>
      </c>
      <c r="O559" s="7"/>
      <c r="P559" s="7">
        <v>13.33</v>
      </c>
      <c r="Q559" s="7"/>
      <c r="R559" s="20"/>
      <c r="S559" s="7"/>
      <c r="T559" s="20"/>
      <c r="U559" s="16">
        <f>SUM(Template!$N559:$O559)*Template!$P559+Template!$Q559</f>
        <v>27273.18</v>
      </c>
      <c r="V559" s="17" t="str">
        <f>IF(Template!$M559="CONSELHO","N",IF(Template!$AA559="N","N1",IF(Template!$AA559="N1","N2",IF(Template!$AA559="N2","N3",IF(Template!$AA559="N3","N4",IF(Template!$AA559="N4","N5",IF(Template!$AA559="N5","N6",IF(Template!$AA559="N6","N7",IF(Template!$AA559="N7","N8",IF(Template!$AA559="N8","N9",IF(Template!$AA559="N9","N10","NA")))))))))))</f>
        <v>N4</v>
      </c>
      <c r="W559" s="17">
        <f>COUNTIF(Template!$M$3:$M$619,Template!$D559)</f>
        <v>0</v>
      </c>
      <c r="X559" s="17" t="str">
        <f>IF(Template!$F559="","",SUMIF(Template!$M$3:$M$619,Template!$D559,Template!$AC$3:$AC$619))</f>
        <v/>
      </c>
      <c r="Y559" s="17" t="str">
        <f>IFERROR(VLOOKUP(Template!$M559,Template!$D$3:$G$619,MATCH("EmployeeJobTitle",Template!$D$2:$G$2,0),FALSE),"NA")</f>
        <v>GERENTE DE LOJA</v>
      </c>
      <c r="Z559" s="17" t="str">
        <f>IFERROR(VLOOKUP(Template!$M559,Template!$D$3:$G$619,MATCH("EmployeeGroup",Template!$D$2:$G$2,0),FALSE),"NA")</f>
        <v>GERENTE</v>
      </c>
      <c r="AA559" s="17" t="str">
        <f>IFERROR(VLOOKUP(Template!$M559,Template!$D$3:$V$619,MATCH("Layer",Template!$D$2:$V$2,0),FALSE),"NA")</f>
        <v>N3</v>
      </c>
      <c r="AB559" s="21">
        <f>VLOOKUP(Template!$M559,Template!$D$3:$F$619,MATCH("InternalGrade",Template!$D$2:$F$2,0),FALSE)-Template!$F559</f>
        <v>0</v>
      </c>
      <c r="AC559" s="17">
        <f>IF(Template!$AB559&lt;=1, 0.8,IF(Template!$AB559=2,0.4,IF(Template!$AB559=3,0.2,IF(Template!$AB559=4,0.1,IF(Template!$AB559&gt;=5,0.05,"erro")))))</f>
        <v>0.8</v>
      </c>
      <c r="AD559" s="17" t="b">
        <f>Template!$D559=Template!$M559</f>
        <v>0</v>
      </c>
      <c r="AE559" s="12" t="s">
        <v>58</v>
      </c>
    </row>
    <row r="560" ht="15.75" customHeight="1">
      <c r="A560" s="7" t="s">
        <v>190</v>
      </c>
      <c r="B560" s="7" t="s">
        <v>209</v>
      </c>
      <c r="C560" s="7" t="s">
        <v>270</v>
      </c>
      <c r="D560" s="13">
        <v>18910.0</v>
      </c>
      <c r="E560" s="7" t="s">
        <v>203</v>
      </c>
      <c r="F560" s="13"/>
      <c r="G560" s="14" t="s">
        <v>63</v>
      </c>
      <c r="H560" s="7" t="s">
        <v>64</v>
      </c>
      <c r="I560" s="7" t="s">
        <v>271</v>
      </c>
      <c r="J560" s="7" t="s">
        <v>70</v>
      </c>
      <c r="K560" s="15">
        <v>44148.0</v>
      </c>
      <c r="L560" s="15">
        <v>34427.0</v>
      </c>
      <c r="M560" s="13">
        <v>25082.0</v>
      </c>
      <c r="N560" s="7"/>
      <c r="O560" s="7"/>
      <c r="P560" s="7">
        <v>13.33</v>
      </c>
      <c r="Q560" s="7"/>
      <c r="R560" s="20"/>
      <c r="S560" s="7"/>
      <c r="T560" s="20"/>
      <c r="U560" s="16">
        <f>SUM(Template!$N560:$O560)*Template!$P560+Template!$Q560</f>
        <v>0</v>
      </c>
      <c r="V560" s="17" t="str">
        <f>IF(Template!$M560="CONSELHO","N",IF(Template!$AA560="N","N1",IF(Template!$AA560="N1","N2",IF(Template!$AA560="N2","N3",IF(Template!$AA560="N3","N4",IF(Template!$AA560="N4","N5",IF(Template!$AA560="N5","N6",IF(Template!$AA560="N6","N7",IF(Template!$AA560="N7","N8",IF(Template!$AA560="N8","N9",IF(Template!$AA560="N9","N10","NA")))))))))))</f>
        <v>N4</v>
      </c>
      <c r="W560" s="17">
        <f>COUNTIF(Template!$M$3:$M$619,Template!$D560)</f>
        <v>0</v>
      </c>
      <c r="X560" s="17" t="str">
        <f>IF(Template!$F560="","",SUMIF(Template!$M$3:$M$619,Template!$D560,Template!$AC$3:$AC$619))</f>
        <v/>
      </c>
      <c r="Y560" s="17" t="str">
        <f>IFERROR(VLOOKUP(Template!$M560,Template!$D$3:$G$619,MATCH("EmployeeJobTitle",Template!$D$2:$G$2,0),FALSE),"NA")</f>
        <v>GERENTE DE LOJA</v>
      </c>
      <c r="Z560" s="17" t="str">
        <f>IFERROR(VLOOKUP(Template!$M560,Template!$D$3:$G$619,MATCH("EmployeeGroup",Template!$D$2:$G$2,0),FALSE),"NA")</f>
        <v>GERENTE</v>
      </c>
      <c r="AA560" s="17" t="str">
        <f>IFERROR(VLOOKUP(Template!$M560,Template!$D$3:$V$619,MATCH("Layer",Template!$D$2:$V$2,0),FALSE),"NA")</f>
        <v>N3</v>
      </c>
      <c r="AB560" s="21">
        <f>VLOOKUP(Template!$M560,Template!$D$3:$F$619,MATCH("InternalGrade",Template!$D$2:$F$2,0),FALSE)-Template!$F560</f>
        <v>0</v>
      </c>
      <c r="AC560" s="17">
        <f>IF(Template!$AB560&lt;=1, 0.8,IF(Template!$AB560=2,0.4,IF(Template!$AB560=3,0.2,IF(Template!$AB560=4,0.1,IF(Template!$AB560&gt;=5,0.05,"erro")))))</f>
        <v>0.8</v>
      </c>
      <c r="AD560" s="17" t="b">
        <f>Template!$D560=Template!$M560</f>
        <v>0</v>
      </c>
      <c r="AE560" s="12" t="s">
        <v>58</v>
      </c>
    </row>
    <row r="561" ht="15.75" customHeight="1">
      <c r="A561" s="7" t="s">
        <v>190</v>
      </c>
      <c r="B561" s="7" t="s">
        <v>209</v>
      </c>
      <c r="C561" s="7" t="s">
        <v>270</v>
      </c>
      <c r="D561" s="13">
        <v>25356.0</v>
      </c>
      <c r="E561" s="7" t="s">
        <v>193</v>
      </c>
      <c r="F561" s="13"/>
      <c r="G561" s="14" t="s">
        <v>63</v>
      </c>
      <c r="H561" s="7" t="s">
        <v>64</v>
      </c>
      <c r="I561" s="7" t="s">
        <v>271</v>
      </c>
      <c r="J561" s="7" t="s">
        <v>70</v>
      </c>
      <c r="K561" s="15">
        <v>45544.0</v>
      </c>
      <c r="L561" s="15">
        <v>36403.0</v>
      </c>
      <c r="M561" s="13">
        <v>25082.0</v>
      </c>
      <c r="N561" s="7"/>
      <c r="O561" s="7"/>
      <c r="P561" s="7">
        <v>13.33</v>
      </c>
      <c r="Q561" s="7"/>
      <c r="R561" s="20"/>
      <c r="S561" s="7"/>
      <c r="T561" s="20"/>
      <c r="U561" s="16">
        <f>SUM(Template!$N561:$O561)*Template!$P561+Template!$Q561</f>
        <v>0</v>
      </c>
      <c r="V561" s="17" t="str">
        <f>IF(Template!$M561="CONSELHO","N",IF(Template!$AA561="N","N1",IF(Template!$AA561="N1","N2",IF(Template!$AA561="N2","N3",IF(Template!$AA561="N3","N4",IF(Template!$AA561="N4","N5",IF(Template!$AA561="N5","N6",IF(Template!$AA561="N6","N7",IF(Template!$AA561="N7","N8",IF(Template!$AA561="N8","N9",IF(Template!$AA561="N9","N10","NA")))))))))))</f>
        <v>N4</v>
      </c>
      <c r="W561" s="17">
        <f>COUNTIF(Template!$M$3:$M$619,Template!$D561)</f>
        <v>0</v>
      </c>
      <c r="X561" s="17" t="str">
        <f>IF(Template!$F561="","",SUMIF(Template!$M$3:$M$619,Template!$D561,Template!$AC$3:$AC$619))</f>
        <v/>
      </c>
      <c r="Y561" s="17" t="str">
        <f>IFERROR(VLOOKUP(Template!$M561,Template!$D$3:$G$619,MATCH("EmployeeJobTitle",Template!$D$2:$G$2,0),FALSE),"NA")</f>
        <v>GERENTE DE LOJA</v>
      </c>
      <c r="Z561" s="17" t="str">
        <f>IFERROR(VLOOKUP(Template!$M561,Template!$D$3:$G$619,MATCH("EmployeeGroup",Template!$D$2:$G$2,0),FALSE),"NA")</f>
        <v>GERENTE</v>
      </c>
      <c r="AA561" s="17" t="str">
        <f>IFERROR(VLOOKUP(Template!$M561,Template!$D$3:$V$619,MATCH("Layer",Template!$D$2:$V$2,0),FALSE),"NA")</f>
        <v>N3</v>
      </c>
      <c r="AB561" s="21">
        <f>VLOOKUP(Template!$M561,Template!$D$3:$F$619,MATCH("InternalGrade",Template!$D$2:$F$2,0),FALSE)-Template!$F561</f>
        <v>0</v>
      </c>
      <c r="AC561" s="17">
        <f>IF(Template!$AB561&lt;=1, 0.8,IF(Template!$AB561=2,0.4,IF(Template!$AB561=3,0.2,IF(Template!$AB561=4,0.1,IF(Template!$AB561&gt;=5,0.05,"erro")))))</f>
        <v>0.8</v>
      </c>
      <c r="AD561" s="17" t="b">
        <f>Template!$D561=Template!$M561</f>
        <v>0</v>
      </c>
      <c r="AE561" s="12" t="s">
        <v>58</v>
      </c>
    </row>
    <row r="562" ht="15.75" customHeight="1">
      <c r="A562" s="7" t="s">
        <v>190</v>
      </c>
      <c r="B562" s="7" t="s">
        <v>209</v>
      </c>
      <c r="C562" s="7" t="s">
        <v>270</v>
      </c>
      <c r="D562" s="13">
        <v>25331.0</v>
      </c>
      <c r="E562" s="7" t="s">
        <v>193</v>
      </c>
      <c r="F562" s="13"/>
      <c r="G562" s="14" t="s">
        <v>63</v>
      </c>
      <c r="H562" s="7" t="s">
        <v>64</v>
      </c>
      <c r="I562" s="7" t="s">
        <v>271</v>
      </c>
      <c r="J562" s="7" t="s">
        <v>70</v>
      </c>
      <c r="K562" s="15">
        <v>45526.0</v>
      </c>
      <c r="L562" s="15">
        <v>36844.0</v>
      </c>
      <c r="M562" s="13">
        <v>25082.0</v>
      </c>
      <c r="N562" s="7"/>
      <c r="O562" s="7"/>
      <c r="P562" s="7">
        <v>13.33</v>
      </c>
      <c r="Q562" s="7"/>
      <c r="R562" s="20"/>
      <c r="S562" s="7"/>
      <c r="T562" s="20"/>
      <c r="U562" s="16">
        <f>SUM(Template!$N562:$O562)*Template!$P562+Template!$Q562</f>
        <v>0</v>
      </c>
      <c r="V562" s="17" t="str">
        <f>IF(Template!$M562="CONSELHO","N",IF(Template!$AA562="N","N1",IF(Template!$AA562="N1","N2",IF(Template!$AA562="N2","N3",IF(Template!$AA562="N3","N4",IF(Template!$AA562="N4","N5",IF(Template!$AA562="N5","N6",IF(Template!$AA562="N6","N7",IF(Template!$AA562="N7","N8",IF(Template!$AA562="N8","N9",IF(Template!$AA562="N9","N10","NA")))))))))))</f>
        <v>N4</v>
      </c>
      <c r="W562" s="17">
        <f>COUNTIF(Template!$M$3:$M$619,Template!$D562)</f>
        <v>0</v>
      </c>
      <c r="X562" s="17" t="str">
        <f>IF(Template!$F562="","",SUMIF(Template!$M$3:$M$619,Template!$D562,Template!$AC$3:$AC$619))</f>
        <v/>
      </c>
      <c r="Y562" s="17" t="str">
        <f>IFERROR(VLOOKUP(Template!$M562,Template!$D$3:$G$619,MATCH("EmployeeJobTitle",Template!$D$2:$G$2,0),FALSE),"NA")</f>
        <v>GERENTE DE LOJA</v>
      </c>
      <c r="Z562" s="17" t="str">
        <f>IFERROR(VLOOKUP(Template!$M562,Template!$D$3:$G$619,MATCH("EmployeeGroup",Template!$D$2:$G$2,0),FALSE),"NA")</f>
        <v>GERENTE</v>
      </c>
      <c r="AA562" s="17" t="str">
        <f>IFERROR(VLOOKUP(Template!$M562,Template!$D$3:$V$619,MATCH("Layer",Template!$D$2:$V$2,0),FALSE),"NA")</f>
        <v>N3</v>
      </c>
      <c r="AB562" s="21">
        <f>VLOOKUP(Template!$M562,Template!$D$3:$F$619,MATCH("InternalGrade",Template!$D$2:$F$2,0),FALSE)-Template!$F562</f>
        <v>0</v>
      </c>
      <c r="AC562" s="17">
        <f>IF(Template!$AB562&lt;=1, 0.8,IF(Template!$AB562=2,0.4,IF(Template!$AB562=3,0.2,IF(Template!$AB562=4,0.1,IF(Template!$AB562&gt;=5,0.05,"erro")))))</f>
        <v>0.8</v>
      </c>
      <c r="AD562" s="17" t="b">
        <f>Template!$D562=Template!$M562</f>
        <v>0</v>
      </c>
      <c r="AE562" s="12" t="s">
        <v>58</v>
      </c>
    </row>
    <row r="563" ht="15.75" customHeight="1">
      <c r="A563" s="7" t="s">
        <v>190</v>
      </c>
      <c r="B563" s="7" t="s">
        <v>209</v>
      </c>
      <c r="C563" s="7" t="s">
        <v>270</v>
      </c>
      <c r="D563" s="13">
        <v>18918.0</v>
      </c>
      <c r="E563" s="7" t="s">
        <v>193</v>
      </c>
      <c r="F563" s="13"/>
      <c r="G563" s="14" t="s">
        <v>63</v>
      </c>
      <c r="H563" s="7" t="s">
        <v>64</v>
      </c>
      <c r="I563" s="7" t="s">
        <v>271</v>
      </c>
      <c r="J563" s="7" t="s">
        <v>70</v>
      </c>
      <c r="K563" s="15">
        <v>44148.0</v>
      </c>
      <c r="L563" s="15">
        <v>34492.0</v>
      </c>
      <c r="M563" s="13">
        <v>25082.0</v>
      </c>
      <c r="N563" s="7"/>
      <c r="O563" s="7"/>
      <c r="P563" s="7">
        <v>13.33</v>
      </c>
      <c r="Q563" s="7"/>
      <c r="R563" s="20"/>
      <c r="S563" s="7"/>
      <c r="T563" s="20"/>
      <c r="U563" s="16">
        <f>SUM(Template!$N563:$O563)*Template!$P563+Template!$Q563</f>
        <v>0</v>
      </c>
      <c r="V563" s="17" t="str">
        <f>IF(Template!$M563="CONSELHO","N",IF(Template!$AA563="N","N1",IF(Template!$AA563="N1","N2",IF(Template!$AA563="N2","N3",IF(Template!$AA563="N3","N4",IF(Template!$AA563="N4","N5",IF(Template!$AA563="N5","N6",IF(Template!$AA563="N6","N7",IF(Template!$AA563="N7","N8",IF(Template!$AA563="N8","N9",IF(Template!$AA563="N9","N10","NA")))))))))))</f>
        <v>N4</v>
      </c>
      <c r="W563" s="17">
        <f>COUNTIF(Template!$M$3:$M$619,Template!$D563)</f>
        <v>0</v>
      </c>
      <c r="X563" s="17" t="str">
        <f>IF(Template!$F563="","",SUMIF(Template!$M$3:$M$619,Template!$D563,Template!$AC$3:$AC$619))</f>
        <v/>
      </c>
      <c r="Y563" s="17" t="str">
        <f>IFERROR(VLOOKUP(Template!$M563,Template!$D$3:$G$619,MATCH("EmployeeJobTitle",Template!$D$2:$G$2,0),FALSE),"NA")</f>
        <v>GERENTE DE LOJA</v>
      </c>
      <c r="Z563" s="17" t="str">
        <f>IFERROR(VLOOKUP(Template!$M563,Template!$D$3:$G$619,MATCH("EmployeeGroup",Template!$D$2:$G$2,0),FALSE),"NA")</f>
        <v>GERENTE</v>
      </c>
      <c r="AA563" s="17" t="str">
        <f>IFERROR(VLOOKUP(Template!$M563,Template!$D$3:$V$619,MATCH("Layer",Template!$D$2:$V$2,0),FALSE),"NA")</f>
        <v>N3</v>
      </c>
      <c r="AB563" s="21">
        <f>VLOOKUP(Template!$M563,Template!$D$3:$F$619,MATCH("InternalGrade",Template!$D$2:$F$2,0),FALSE)-Template!$F563</f>
        <v>0</v>
      </c>
      <c r="AC563" s="17">
        <f>IF(Template!$AB563&lt;=1, 0.8,IF(Template!$AB563=2,0.4,IF(Template!$AB563=3,0.2,IF(Template!$AB563=4,0.1,IF(Template!$AB563&gt;=5,0.05,"erro")))))</f>
        <v>0.8</v>
      </c>
      <c r="AD563" s="17" t="b">
        <f>Template!$D563=Template!$M563</f>
        <v>0</v>
      </c>
      <c r="AE563" s="12" t="s">
        <v>58</v>
      </c>
    </row>
    <row r="564" ht="15.75" customHeight="1">
      <c r="A564" s="7" t="s">
        <v>190</v>
      </c>
      <c r="B564" s="7" t="s">
        <v>209</v>
      </c>
      <c r="C564" s="7" t="s">
        <v>270</v>
      </c>
      <c r="D564" s="13">
        <v>25307.0</v>
      </c>
      <c r="E564" s="7" t="s">
        <v>193</v>
      </c>
      <c r="F564" s="13"/>
      <c r="G564" s="14" t="s">
        <v>63</v>
      </c>
      <c r="H564" s="7" t="s">
        <v>64</v>
      </c>
      <c r="I564" s="7" t="s">
        <v>271</v>
      </c>
      <c r="J564" s="7" t="s">
        <v>70</v>
      </c>
      <c r="K564" s="15">
        <v>45516.0</v>
      </c>
      <c r="L564" s="15">
        <v>31408.0</v>
      </c>
      <c r="M564" s="13">
        <v>25082.0</v>
      </c>
      <c r="N564" s="7"/>
      <c r="O564" s="7"/>
      <c r="P564" s="7">
        <v>13.33</v>
      </c>
      <c r="Q564" s="7"/>
      <c r="R564" s="20"/>
      <c r="S564" s="7"/>
      <c r="T564" s="20"/>
      <c r="U564" s="16">
        <f>SUM(Template!$N564:$O564)*Template!$P564+Template!$Q564</f>
        <v>0</v>
      </c>
      <c r="V564" s="17" t="str">
        <f>IF(Template!$M564="CONSELHO","N",IF(Template!$AA564="N","N1",IF(Template!$AA564="N1","N2",IF(Template!$AA564="N2","N3",IF(Template!$AA564="N3","N4",IF(Template!$AA564="N4","N5",IF(Template!$AA564="N5","N6",IF(Template!$AA564="N6","N7",IF(Template!$AA564="N7","N8",IF(Template!$AA564="N8","N9",IF(Template!$AA564="N9","N10","NA")))))))))))</f>
        <v>N4</v>
      </c>
      <c r="W564" s="17">
        <f>COUNTIF(Template!$M$3:$M$619,Template!$D564)</f>
        <v>0</v>
      </c>
      <c r="X564" s="17" t="str">
        <f>IF(Template!$F564="","",SUMIF(Template!$M$3:$M$619,Template!$D564,Template!$AC$3:$AC$619))</f>
        <v/>
      </c>
      <c r="Y564" s="17" t="str">
        <f>IFERROR(VLOOKUP(Template!$M564,Template!$D$3:$G$619,MATCH("EmployeeJobTitle",Template!$D$2:$G$2,0),FALSE),"NA")</f>
        <v>GERENTE DE LOJA</v>
      </c>
      <c r="Z564" s="17" t="str">
        <f>IFERROR(VLOOKUP(Template!$M564,Template!$D$3:$G$619,MATCH("EmployeeGroup",Template!$D$2:$G$2,0),FALSE),"NA")</f>
        <v>GERENTE</v>
      </c>
      <c r="AA564" s="17" t="str">
        <f>IFERROR(VLOOKUP(Template!$M564,Template!$D$3:$V$619,MATCH("Layer",Template!$D$2:$V$2,0),FALSE),"NA")</f>
        <v>N3</v>
      </c>
      <c r="AB564" s="21">
        <f>VLOOKUP(Template!$M564,Template!$D$3:$F$619,MATCH("InternalGrade",Template!$D$2:$F$2,0),FALSE)-Template!$F564</f>
        <v>0</v>
      </c>
      <c r="AC564" s="17">
        <f>IF(Template!$AB564&lt;=1, 0.8,IF(Template!$AB564=2,0.4,IF(Template!$AB564=3,0.2,IF(Template!$AB564=4,0.1,IF(Template!$AB564&gt;=5,0.05,"erro")))))</f>
        <v>0.8</v>
      </c>
      <c r="AD564" s="17" t="b">
        <f>Template!$D564=Template!$M564</f>
        <v>0</v>
      </c>
      <c r="AE564" s="12" t="s">
        <v>58</v>
      </c>
    </row>
    <row r="565" ht="15.75" customHeight="1">
      <c r="A565" s="7" t="s">
        <v>190</v>
      </c>
      <c r="B565" s="7" t="s">
        <v>160</v>
      </c>
      <c r="C565" s="7" t="s">
        <v>272</v>
      </c>
      <c r="D565" s="13">
        <v>24366.0</v>
      </c>
      <c r="E565" s="7" t="s">
        <v>198</v>
      </c>
      <c r="F565" s="13"/>
      <c r="G565" s="14" t="s">
        <v>63</v>
      </c>
      <c r="H565" s="7" t="s">
        <v>221</v>
      </c>
      <c r="I565" s="7" t="s">
        <v>222</v>
      </c>
      <c r="J565" s="7" t="s">
        <v>70</v>
      </c>
      <c r="K565" s="15">
        <v>45215.0</v>
      </c>
      <c r="L565" s="15">
        <v>35324.0</v>
      </c>
      <c r="M565" s="13">
        <v>19677.0</v>
      </c>
      <c r="N565" s="7">
        <v>1450.14</v>
      </c>
      <c r="O565" s="7"/>
      <c r="P565" s="7">
        <v>13.33</v>
      </c>
      <c r="Q565" s="7"/>
      <c r="R565" s="20"/>
      <c r="S565" s="7"/>
      <c r="T565" s="20"/>
      <c r="U565" s="16">
        <f>SUM(Template!$N565:$O565)*Template!$P565+Template!$Q565</f>
        <v>19330.3662</v>
      </c>
      <c r="V565" s="17" t="str">
        <f>IF(Template!$M565="CONSELHO","N",IF(Template!$AA565="N","N1",IF(Template!$AA565="N1","N2",IF(Template!$AA565="N2","N3",IF(Template!$AA565="N3","N4",IF(Template!$AA565="N4","N5",IF(Template!$AA565="N5","N6",IF(Template!$AA565="N6","N7",IF(Template!$AA565="N7","N8",IF(Template!$AA565="N8","N9",IF(Template!$AA565="N9","N10","NA")))))))))))</f>
        <v>N4</v>
      </c>
      <c r="W565" s="17">
        <f>COUNTIF(Template!$M$3:$M$619,Template!$D565)</f>
        <v>0</v>
      </c>
      <c r="X565" s="17" t="str">
        <f>IF(Template!$F565="","",SUMIF(Template!$M$3:$M$619,Template!$D565,Template!$AC$3:$AC$619))</f>
        <v/>
      </c>
      <c r="Y565" s="17" t="str">
        <f>IFERROR(VLOOKUP(Template!$M565,Template!$D$3:$G$619,MATCH("EmployeeJobTitle",Template!$D$2:$G$2,0),FALSE),"NA")</f>
        <v>GERENTE DE LOJA</v>
      </c>
      <c r="Z565" s="17" t="str">
        <f>IFERROR(VLOOKUP(Template!$M565,Template!$D$3:$G$619,MATCH("EmployeeGroup",Template!$D$2:$G$2,0),FALSE),"NA")</f>
        <v>GERENTE</v>
      </c>
      <c r="AA565" s="17" t="str">
        <f>IFERROR(VLOOKUP(Template!$M565,Template!$D$3:$V$619,MATCH("Layer",Template!$D$2:$V$2,0),FALSE),"NA")</f>
        <v>N3</v>
      </c>
      <c r="AB565" s="21">
        <f>VLOOKUP(Template!$M565,Template!$D$3:$F$619,MATCH("InternalGrade",Template!$D$2:$F$2,0),FALSE)-Template!$F565</f>
        <v>0</v>
      </c>
      <c r="AC565" s="17">
        <f>IF(Template!$AB565&lt;=1, 0.8,IF(Template!$AB565=2,0.4,IF(Template!$AB565=3,0.2,IF(Template!$AB565=4,0.1,IF(Template!$AB565&gt;=5,0.05,"erro")))))</f>
        <v>0.8</v>
      </c>
      <c r="AD565" s="17" t="b">
        <f>Template!$D565=Template!$M565</f>
        <v>0</v>
      </c>
      <c r="AE565" s="12" t="s">
        <v>58</v>
      </c>
    </row>
    <row r="566" ht="15.75" customHeight="1">
      <c r="A566" s="7" t="s">
        <v>190</v>
      </c>
      <c r="B566" s="7" t="s">
        <v>160</v>
      </c>
      <c r="C566" s="7" t="s">
        <v>272</v>
      </c>
      <c r="D566" s="13">
        <v>22313.0</v>
      </c>
      <c r="E566" s="7" t="s">
        <v>193</v>
      </c>
      <c r="F566" s="13"/>
      <c r="G566" s="14" t="s">
        <v>63</v>
      </c>
      <c r="H566" s="7" t="s">
        <v>221</v>
      </c>
      <c r="I566" s="7" t="s">
        <v>222</v>
      </c>
      <c r="J566" s="7" t="s">
        <v>70</v>
      </c>
      <c r="K566" s="15">
        <v>44866.0</v>
      </c>
      <c r="L566" s="15">
        <v>35566.0</v>
      </c>
      <c r="M566" s="13">
        <v>19677.0</v>
      </c>
      <c r="N566" s="7"/>
      <c r="O566" s="7"/>
      <c r="P566" s="7">
        <v>13.33</v>
      </c>
      <c r="Q566" s="7"/>
      <c r="R566" s="20"/>
      <c r="S566" s="7"/>
      <c r="T566" s="20"/>
      <c r="U566" s="16">
        <f>SUM(Template!$N566:$O566)*Template!$P566+Template!$Q566</f>
        <v>0</v>
      </c>
      <c r="V566" s="17" t="str">
        <f>IF(Template!$M566="CONSELHO","N",IF(Template!$AA566="N","N1",IF(Template!$AA566="N1","N2",IF(Template!$AA566="N2","N3",IF(Template!$AA566="N3","N4",IF(Template!$AA566="N4","N5",IF(Template!$AA566="N5","N6",IF(Template!$AA566="N6","N7",IF(Template!$AA566="N7","N8",IF(Template!$AA566="N8","N9",IF(Template!$AA566="N9","N10","NA")))))))))))</f>
        <v>N4</v>
      </c>
      <c r="W566" s="17">
        <f>COUNTIF(Template!$M$3:$M$619,Template!$D566)</f>
        <v>0</v>
      </c>
      <c r="X566" s="17" t="str">
        <f>IF(Template!$F566="","",SUMIF(Template!$M$3:$M$619,Template!$D566,Template!$AC$3:$AC$619))</f>
        <v/>
      </c>
      <c r="Y566" s="17" t="str">
        <f>IFERROR(VLOOKUP(Template!$M566,Template!$D$3:$G$619,MATCH("EmployeeJobTitle",Template!$D$2:$G$2,0),FALSE),"NA")</f>
        <v>GERENTE DE LOJA</v>
      </c>
      <c r="Z566" s="17" t="str">
        <f>IFERROR(VLOOKUP(Template!$M566,Template!$D$3:$G$619,MATCH("EmployeeGroup",Template!$D$2:$G$2,0),FALSE),"NA")</f>
        <v>GERENTE</v>
      </c>
      <c r="AA566" s="17" t="str">
        <f>IFERROR(VLOOKUP(Template!$M566,Template!$D$3:$V$619,MATCH("Layer",Template!$D$2:$V$2,0),FALSE),"NA")</f>
        <v>N3</v>
      </c>
      <c r="AB566" s="21">
        <f>VLOOKUP(Template!$M566,Template!$D$3:$F$619,MATCH("InternalGrade",Template!$D$2:$F$2,0),FALSE)-Template!$F566</f>
        <v>0</v>
      </c>
      <c r="AC566" s="17">
        <f>IF(Template!$AB566&lt;=1, 0.8,IF(Template!$AB566=2,0.4,IF(Template!$AB566=3,0.2,IF(Template!$AB566=4,0.1,IF(Template!$AB566&gt;=5,0.05,"erro")))))</f>
        <v>0.8</v>
      </c>
      <c r="AD566" s="17" t="b">
        <f>Template!$D566=Template!$M566</f>
        <v>0</v>
      </c>
      <c r="AE566" s="12" t="s">
        <v>58</v>
      </c>
    </row>
    <row r="567" ht="15.75" customHeight="1">
      <c r="A567" s="7" t="s">
        <v>190</v>
      </c>
      <c r="B567" s="7" t="s">
        <v>160</v>
      </c>
      <c r="C567" s="7" t="s">
        <v>272</v>
      </c>
      <c r="D567" s="13">
        <v>19890.0</v>
      </c>
      <c r="E567" s="7" t="s">
        <v>193</v>
      </c>
      <c r="F567" s="13"/>
      <c r="G567" s="14" t="s">
        <v>63</v>
      </c>
      <c r="H567" s="7" t="s">
        <v>221</v>
      </c>
      <c r="I567" s="7" t="s">
        <v>222</v>
      </c>
      <c r="J567" s="7" t="s">
        <v>70</v>
      </c>
      <c r="K567" s="15">
        <v>44503.0</v>
      </c>
      <c r="L567" s="15">
        <v>29264.0</v>
      </c>
      <c r="M567" s="13">
        <v>19677.0</v>
      </c>
      <c r="N567" s="7"/>
      <c r="O567" s="7"/>
      <c r="P567" s="7">
        <v>13.33</v>
      </c>
      <c r="Q567" s="7"/>
      <c r="R567" s="20"/>
      <c r="S567" s="7"/>
      <c r="T567" s="20"/>
      <c r="U567" s="16">
        <f>SUM(Template!$N567:$O567)*Template!$P567+Template!$Q567</f>
        <v>0</v>
      </c>
      <c r="V567" s="17" t="str">
        <f>IF(Template!$M567="CONSELHO","N",IF(Template!$AA567="N","N1",IF(Template!$AA567="N1","N2",IF(Template!$AA567="N2","N3",IF(Template!$AA567="N3","N4",IF(Template!$AA567="N4","N5",IF(Template!$AA567="N5","N6",IF(Template!$AA567="N6","N7",IF(Template!$AA567="N7","N8",IF(Template!$AA567="N8","N9",IF(Template!$AA567="N9","N10","NA")))))))))))</f>
        <v>N4</v>
      </c>
      <c r="W567" s="17">
        <f>COUNTIF(Template!$M$3:$M$619,Template!$D567)</f>
        <v>0</v>
      </c>
      <c r="X567" s="17" t="str">
        <f>IF(Template!$F567="","",SUMIF(Template!$M$3:$M$619,Template!$D567,Template!$AC$3:$AC$619))</f>
        <v/>
      </c>
      <c r="Y567" s="17" t="str">
        <f>IFERROR(VLOOKUP(Template!$M567,Template!$D$3:$G$619,MATCH("EmployeeJobTitle",Template!$D$2:$G$2,0),FALSE),"NA")</f>
        <v>GERENTE DE LOJA</v>
      </c>
      <c r="Z567" s="17" t="str">
        <f>IFERROR(VLOOKUP(Template!$M567,Template!$D$3:$G$619,MATCH("EmployeeGroup",Template!$D$2:$G$2,0),FALSE),"NA")</f>
        <v>GERENTE</v>
      </c>
      <c r="AA567" s="17" t="str">
        <f>IFERROR(VLOOKUP(Template!$M567,Template!$D$3:$V$619,MATCH("Layer",Template!$D$2:$V$2,0),FALSE),"NA")</f>
        <v>N3</v>
      </c>
      <c r="AB567" s="21">
        <f>VLOOKUP(Template!$M567,Template!$D$3:$F$619,MATCH("InternalGrade",Template!$D$2:$F$2,0),FALSE)-Template!$F567</f>
        <v>0</v>
      </c>
      <c r="AC567" s="17">
        <f>IF(Template!$AB567&lt;=1, 0.8,IF(Template!$AB567=2,0.4,IF(Template!$AB567=3,0.2,IF(Template!$AB567=4,0.1,IF(Template!$AB567&gt;=5,0.05,"erro")))))</f>
        <v>0.8</v>
      </c>
      <c r="AD567" s="17" t="b">
        <f>Template!$D567=Template!$M567</f>
        <v>0</v>
      </c>
      <c r="AE567" s="12" t="s">
        <v>58</v>
      </c>
    </row>
    <row r="568" ht="15.75" customHeight="1">
      <c r="A568" s="7" t="s">
        <v>190</v>
      </c>
      <c r="B568" s="7" t="s">
        <v>160</v>
      </c>
      <c r="C568" s="7" t="s">
        <v>272</v>
      </c>
      <c r="D568" s="13">
        <v>19892.0</v>
      </c>
      <c r="E568" s="7" t="s">
        <v>197</v>
      </c>
      <c r="F568" s="13"/>
      <c r="G568" s="22" t="s">
        <v>87</v>
      </c>
      <c r="H568" s="7" t="s">
        <v>221</v>
      </c>
      <c r="I568" s="7" t="s">
        <v>222</v>
      </c>
      <c r="J568" s="7" t="s">
        <v>70</v>
      </c>
      <c r="K568" s="15">
        <v>44503.0</v>
      </c>
      <c r="L568" s="15">
        <v>35371.0</v>
      </c>
      <c r="M568" s="13">
        <v>19677.0</v>
      </c>
      <c r="N568" s="7"/>
      <c r="O568" s="7"/>
      <c r="P568" s="7">
        <v>13.33</v>
      </c>
      <c r="Q568" s="7"/>
      <c r="R568" s="20"/>
      <c r="S568" s="7"/>
      <c r="T568" s="20"/>
      <c r="U568" s="16">
        <f>SUM(Template!$N568:$O568)*Template!$P568+Template!$Q568</f>
        <v>0</v>
      </c>
      <c r="V568" s="17" t="str">
        <f>IF(Template!$M568="CONSELHO","N",IF(Template!$AA568="N","N1",IF(Template!$AA568="N1","N2",IF(Template!$AA568="N2","N3",IF(Template!$AA568="N3","N4",IF(Template!$AA568="N4","N5",IF(Template!$AA568="N5","N6",IF(Template!$AA568="N6","N7",IF(Template!$AA568="N7","N8",IF(Template!$AA568="N8","N9",IF(Template!$AA568="N9","N10","NA")))))))))))</f>
        <v>N4</v>
      </c>
      <c r="W568" s="17">
        <f>COUNTIF(Template!$M$3:$M$619,Template!$D568)</f>
        <v>0</v>
      </c>
      <c r="X568" s="17" t="str">
        <f>IF(Template!$F568="","",SUMIF(Template!$M$3:$M$619,Template!$D568,Template!$AC$3:$AC$619))</f>
        <v/>
      </c>
      <c r="Y568" s="17" t="str">
        <f>IFERROR(VLOOKUP(Template!$M568,Template!$D$3:$G$619,MATCH("EmployeeJobTitle",Template!$D$2:$G$2,0),FALSE),"NA")</f>
        <v>GERENTE DE LOJA</v>
      </c>
      <c r="Z568" s="17" t="str">
        <f>IFERROR(VLOOKUP(Template!$M568,Template!$D$3:$G$619,MATCH("EmployeeGroup",Template!$D$2:$G$2,0),FALSE),"NA")</f>
        <v>GERENTE</v>
      </c>
      <c r="AA568" s="17" t="str">
        <f>IFERROR(VLOOKUP(Template!$M568,Template!$D$3:$V$619,MATCH("Layer",Template!$D$2:$V$2,0),FALSE),"NA")</f>
        <v>N3</v>
      </c>
      <c r="AB568" s="21">
        <f>VLOOKUP(Template!$M568,Template!$D$3:$F$619,MATCH("InternalGrade",Template!$D$2:$F$2,0),FALSE)-Template!$F568</f>
        <v>0</v>
      </c>
      <c r="AC568" s="17">
        <f>IF(Template!$AB568&lt;=1, 0.8,IF(Template!$AB568=2,0.4,IF(Template!$AB568=3,0.2,IF(Template!$AB568=4,0.1,IF(Template!$AB568&gt;=5,0.05,"erro")))))</f>
        <v>0.8</v>
      </c>
      <c r="AD568" s="17" t="b">
        <f>Template!$D568=Template!$M568</f>
        <v>0</v>
      </c>
      <c r="AE568" s="12" t="s">
        <v>58</v>
      </c>
    </row>
    <row r="569" ht="15.75" customHeight="1">
      <c r="A569" s="7" t="s">
        <v>190</v>
      </c>
      <c r="B569" s="7" t="s">
        <v>160</v>
      </c>
      <c r="C569" s="7" t="s">
        <v>272</v>
      </c>
      <c r="D569" s="13">
        <v>19893.0</v>
      </c>
      <c r="E569" s="7" t="s">
        <v>203</v>
      </c>
      <c r="F569" s="13"/>
      <c r="G569" s="14" t="s">
        <v>63</v>
      </c>
      <c r="H569" s="7" t="s">
        <v>221</v>
      </c>
      <c r="I569" s="7" t="s">
        <v>222</v>
      </c>
      <c r="J569" s="7" t="s">
        <v>70</v>
      </c>
      <c r="K569" s="15">
        <v>44503.0</v>
      </c>
      <c r="L569" s="15">
        <v>35417.0</v>
      </c>
      <c r="M569" s="13">
        <v>19677.0</v>
      </c>
      <c r="N569" s="7"/>
      <c r="O569" s="7"/>
      <c r="P569" s="7">
        <v>13.33</v>
      </c>
      <c r="Q569" s="7"/>
      <c r="R569" s="20"/>
      <c r="S569" s="7"/>
      <c r="T569" s="20"/>
      <c r="U569" s="16">
        <f>SUM(Template!$N569:$O569)*Template!$P569+Template!$Q569</f>
        <v>0</v>
      </c>
      <c r="V569" s="17" t="str">
        <f>IF(Template!$M569="CONSELHO","N",IF(Template!$AA569="N","N1",IF(Template!$AA569="N1","N2",IF(Template!$AA569="N2","N3",IF(Template!$AA569="N3","N4",IF(Template!$AA569="N4","N5",IF(Template!$AA569="N5","N6",IF(Template!$AA569="N6","N7",IF(Template!$AA569="N7","N8",IF(Template!$AA569="N8","N9",IF(Template!$AA569="N9","N10","NA")))))))))))</f>
        <v>N4</v>
      </c>
      <c r="W569" s="17">
        <f>COUNTIF(Template!$M$3:$M$619,Template!$D569)</f>
        <v>0</v>
      </c>
      <c r="X569" s="17" t="str">
        <f>IF(Template!$F569="","",SUMIF(Template!$M$3:$M$619,Template!$D569,Template!$AC$3:$AC$619))</f>
        <v/>
      </c>
      <c r="Y569" s="17" t="str">
        <f>IFERROR(VLOOKUP(Template!$M569,Template!$D$3:$G$619,MATCH("EmployeeJobTitle",Template!$D$2:$G$2,0),FALSE),"NA")</f>
        <v>GERENTE DE LOJA</v>
      </c>
      <c r="Z569" s="17" t="str">
        <f>IFERROR(VLOOKUP(Template!$M569,Template!$D$3:$G$619,MATCH("EmployeeGroup",Template!$D$2:$G$2,0),FALSE),"NA")</f>
        <v>GERENTE</v>
      </c>
      <c r="AA569" s="17" t="str">
        <f>IFERROR(VLOOKUP(Template!$M569,Template!$D$3:$V$619,MATCH("Layer",Template!$D$2:$V$2,0),FALSE),"NA")</f>
        <v>N3</v>
      </c>
      <c r="AB569" s="21">
        <f>VLOOKUP(Template!$M569,Template!$D$3:$F$619,MATCH("InternalGrade",Template!$D$2:$F$2,0),FALSE)-Template!$F569</f>
        <v>0</v>
      </c>
      <c r="AC569" s="17">
        <f>IF(Template!$AB569&lt;=1, 0.8,IF(Template!$AB569=2,0.4,IF(Template!$AB569=3,0.2,IF(Template!$AB569=4,0.1,IF(Template!$AB569&gt;=5,0.05,"erro")))))</f>
        <v>0.8</v>
      </c>
      <c r="AD569" s="17" t="b">
        <f>Template!$D569=Template!$M569</f>
        <v>0</v>
      </c>
      <c r="AE569" s="12" t="s">
        <v>58</v>
      </c>
    </row>
    <row r="570" ht="15.75" customHeight="1">
      <c r="A570" s="7" t="s">
        <v>190</v>
      </c>
      <c r="B570" s="7" t="s">
        <v>160</v>
      </c>
      <c r="C570" s="7" t="s">
        <v>272</v>
      </c>
      <c r="D570" s="13">
        <v>25045.0</v>
      </c>
      <c r="E570" s="7" t="s">
        <v>193</v>
      </c>
      <c r="F570" s="13"/>
      <c r="G570" s="14" t="s">
        <v>63</v>
      </c>
      <c r="H570" s="7" t="s">
        <v>221</v>
      </c>
      <c r="I570" s="7" t="s">
        <v>222</v>
      </c>
      <c r="J570" s="7" t="s">
        <v>70</v>
      </c>
      <c r="K570" s="15">
        <v>45418.0</v>
      </c>
      <c r="L570" s="15">
        <v>30370.0</v>
      </c>
      <c r="M570" s="13">
        <v>19677.0</v>
      </c>
      <c r="N570" s="7"/>
      <c r="O570" s="7"/>
      <c r="P570" s="7">
        <v>13.33</v>
      </c>
      <c r="Q570" s="7"/>
      <c r="R570" s="20"/>
      <c r="S570" s="7"/>
      <c r="T570" s="20"/>
      <c r="U570" s="16">
        <f>SUM(Template!$N570:$O570)*Template!$P570+Template!$Q570</f>
        <v>0</v>
      </c>
      <c r="V570" s="17" t="str">
        <f>IF(Template!$M570="CONSELHO","N",IF(Template!$AA570="N","N1",IF(Template!$AA570="N1","N2",IF(Template!$AA570="N2","N3",IF(Template!$AA570="N3","N4",IF(Template!$AA570="N4","N5",IF(Template!$AA570="N5","N6",IF(Template!$AA570="N6","N7",IF(Template!$AA570="N7","N8",IF(Template!$AA570="N8","N9",IF(Template!$AA570="N9","N10","NA")))))))))))</f>
        <v>N4</v>
      </c>
      <c r="W570" s="17">
        <f>COUNTIF(Template!$M$3:$M$619,Template!$D570)</f>
        <v>0</v>
      </c>
      <c r="X570" s="17" t="str">
        <f>IF(Template!$F570="","",SUMIF(Template!$M$3:$M$619,Template!$D570,Template!$AC$3:$AC$619))</f>
        <v/>
      </c>
      <c r="Y570" s="17" t="str">
        <f>IFERROR(VLOOKUP(Template!$M570,Template!$D$3:$G$619,MATCH("EmployeeJobTitle",Template!$D$2:$G$2,0),FALSE),"NA")</f>
        <v>GERENTE DE LOJA</v>
      </c>
      <c r="Z570" s="17" t="str">
        <f>IFERROR(VLOOKUP(Template!$M570,Template!$D$3:$G$619,MATCH("EmployeeGroup",Template!$D$2:$G$2,0),FALSE),"NA")</f>
        <v>GERENTE</v>
      </c>
      <c r="AA570" s="17" t="str">
        <f>IFERROR(VLOOKUP(Template!$M570,Template!$D$3:$V$619,MATCH("Layer",Template!$D$2:$V$2,0),FALSE),"NA")</f>
        <v>N3</v>
      </c>
      <c r="AB570" s="21">
        <f>VLOOKUP(Template!$M570,Template!$D$3:$F$619,MATCH("InternalGrade",Template!$D$2:$F$2,0),FALSE)-Template!$F570</f>
        <v>0</v>
      </c>
      <c r="AC570" s="17">
        <f>IF(Template!$AB570&lt;=1, 0.8,IF(Template!$AB570=2,0.4,IF(Template!$AB570=3,0.2,IF(Template!$AB570=4,0.1,IF(Template!$AB570&gt;=5,0.05,"erro")))))</f>
        <v>0.8</v>
      </c>
      <c r="AD570" s="17" t="b">
        <f>Template!$D570=Template!$M570</f>
        <v>0</v>
      </c>
      <c r="AE570" s="12" t="s">
        <v>58</v>
      </c>
    </row>
    <row r="571" ht="15.75" customHeight="1">
      <c r="A571" s="7" t="s">
        <v>190</v>
      </c>
      <c r="B571" s="7" t="s">
        <v>160</v>
      </c>
      <c r="C571" s="7" t="s">
        <v>272</v>
      </c>
      <c r="D571" s="13">
        <v>19896.0</v>
      </c>
      <c r="E571" s="7" t="s">
        <v>193</v>
      </c>
      <c r="F571" s="13"/>
      <c r="G571" s="14" t="s">
        <v>63</v>
      </c>
      <c r="H571" s="7" t="s">
        <v>221</v>
      </c>
      <c r="I571" s="7" t="s">
        <v>222</v>
      </c>
      <c r="J571" s="7" t="s">
        <v>70</v>
      </c>
      <c r="K571" s="15">
        <v>44503.0</v>
      </c>
      <c r="L571" s="15">
        <v>29633.0</v>
      </c>
      <c r="M571" s="13">
        <v>19677.0</v>
      </c>
      <c r="N571" s="7"/>
      <c r="O571" s="7"/>
      <c r="P571" s="7">
        <v>13.33</v>
      </c>
      <c r="Q571" s="7"/>
      <c r="R571" s="20"/>
      <c r="S571" s="7"/>
      <c r="T571" s="20"/>
      <c r="U571" s="16">
        <f>SUM(Template!$N571:$O571)*Template!$P571+Template!$Q571</f>
        <v>0</v>
      </c>
      <c r="V571" s="17" t="str">
        <f>IF(Template!$M571="CONSELHO","N",IF(Template!$AA571="N","N1",IF(Template!$AA571="N1","N2",IF(Template!$AA571="N2","N3",IF(Template!$AA571="N3","N4",IF(Template!$AA571="N4","N5",IF(Template!$AA571="N5","N6",IF(Template!$AA571="N6","N7",IF(Template!$AA571="N7","N8",IF(Template!$AA571="N8","N9",IF(Template!$AA571="N9","N10","NA")))))))))))</f>
        <v>N4</v>
      </c>
      <c r="W571" s="17">
        <f>COUNTIF(Template!$M$3:$M$619,Template!$D571)</f>
        <v>0</v>
      </c>
      <c r="X571" s="17" t="str">
        <f>IF(Template!$F571="","",SUMIF(Template!$M$3:$M$619,Template!$D571,Template!$AC$3:$AC$619))</f>
        <v/>
      </c>
      <c r="Y571" s="17" t="str">
        <f>IFERROR(VLOOKUP(Template!$M571,Template!$D$3:$G$619,MATCH("EmployeeJobTitle",Template!$D$2:$G$2,0),FALSE),"NA")</f>
        <v>GERENTE DE LOJA</v>
      </c>
      <c r="Z571" s="17" t="str">
        <f>IFERROR(VLOOKUP(Template!$M571,Template!$D$3:$G$619,MATCH("EmployeeGroup",Template!$D$2:$G$2,0),FALSE),"NA")</f>
        <v>GERENTE</v>
      </c>
      <c r="AA571" s="17" t="str">
        <f>IFERROR(VLOOKUP(Template!$M571,Template!$D$3:$V$619,MATCH("Layer",Template!$D$2:$V$2,0),FALSE),"NA")</f>
        <v>N3</v>
      </c>
      <c r="AB571" s="21">
        <f>VLOOKUP(Template!$M571,Template!$D$3:$F$619,MATCH("InternalGrade",Template!$D$2:$F$2,0),FALSE)-Template!$F571</f>
        <v>0</v>
      </c>
      <c r="AC571" s="17">
        <f>IF(Template!$AB571&lt;=1, 0.8,IF(Template!$AB571=2,0.4,IF(Template!$AB571=3,0.2,IF(Template!$AB571=4,0.1,IF(Template!$AB571&gt;=5,0.05,"erro")))))</f>
        <v>0.8</v>
      </c>
      <c r="AD571" s="17" t="b">
        <f>Template!$D571=Template!$M571</f>
        <v>0</v>
      </c>
      <c r="AE571" s="12" t="s">
        <v>58</v>
      </c>
    </row>
    <row r="572" ht="15.75" customHeight="1">
      <c r="A572" s="7" t="s">
        <v>190</v>
      </c>
      <c r="B572" s="7" t="s">
        <v>160</v>
      </c>
      <c r="C572" s="7" t="s">
        <v>272</v>
      </c>
      <c r="D572" s="13">
        <v>19677.0</v>
      </c>
      <c r="E572" s="7" t="s">
        <v>199</v>
      </c>
      <c r="F572" s="13"/>
      <c r="G572" s="22" t="s">
        <v>200</v>
      </c>
      <c r="H572" s="7" t="s">
        <v>221</v>
      </c>
      <c r="I572" s="7" t="s">
        <v>222</v>
      </c>
      <c r="J572" s="7" t="s">
        <v>70</v>
      </c>
      <c r="K572" s="15">
        <v>44390.0</v>
      </c>
      <c r="L572" s="15">
        <v>32265.0</v>
      </c>
      <c r="M572" s="13">
        <v>12404.0</v>
      </c>
      <c r="N572" s="7">
        <v>5188.0</v>
      </c>
      <c r="O572" s="7"/>
      <c r="P572" s="7">
        <v>13.33</v>
      </c>
      <c r="Q572" s="7"/>
      <c r="R572" s="20"/>
      <c r="S572" s="7"/>
      <c r="T572" s="20"/>
      <c r="U572" s="16">
        <f>SUM(Template!$N572:$O572)*Template!$P572+Template!$Q572</f>
        <v>69156.04</v>
      </c>
      <c r="V572" s="17" t="str">
        <f>IF(Template!$M572="CONSELHO","N",IF(Template!$AA572="N","N1",IF(Template!$AA572="N1","N2",IF(Template!$AA572="N2","N3",IF(Template!$AA572="N3","N4",IF(Template!$AA572="N4","N5",IF(Template!$AA572="N5","N6",IF(Template!$AA572="N6","N7",IF(Template!$AA572="N7","N8",IF(Template!$AA572="N8","N9",IF(Template!$AA572="N9","N10","NA")))))))))))</f>
        <v>N3</v>
      </c>
      <c r="W572" s="17">
        <f>COUNTIF(Template!$M$3:$M$619,Template!$D572)</f>
        <v>10</v>
      </c>
      <c r="X572" s="17" t="str">
        <f>IF(Template!$F572="","",SUMIF(Template!$M$3:$M$619,Template!$D572,Template!$AC$3:$AC$619))</f>
        <v/>
      </c>
      <c r="Y572" s="17" t="str">
        <f>IFERROR(VLOOKUP(Template!$M572,Template!$D$3:$G$619,MATCH("EmployeeJobTitle",Template!$D$2:$G$2,0),FALSE),"NA")</f>
        <v>GERENTE COMERCIAL</v>
      </c>
      <c r="Z572" s="17" t="str">
        <f>IFERROR(VLOOKUP(Template!$M572,Template!$D$3:$G$619,MATCH("EmployeeGroup",Template!$D$2:$G$2,0),FALSE),"NA")</f>
        <v>Coordenador</v>
      </c>
      <c r="AA572" s="17" t="str">
        <f>IFERROR(VLOOKUP(Template!$M572,Template!$D$3:$V$619,MATCH("Layer",Template!$D$2:$V$2,0),FALSE),"NA")</f>
        <v>N2</v>
      </c>
      <c r="AB572" s="21">
        <f>VLOOKUP(Template!$M572,Template!$D$3:$F$619,MATCH("InternalGrade",Template!$D$2:$F$2,0),FALSE)-Template!$F572</f>
        <v>19</v>
      </c>
      <c r="AC572" s="17">
        <f>IF(Template!$AB572&lt;=1, 0.8,IF(Template!$AB572=2,0.4,IF(Template!$AB572=3,0.2,IF(Template!$AB572=4,0.1,IF(Template!$AB572&gt;=5,0.05,"erro")))))</f>
        <v>0.05</v>
      </c>
      <c r="AD572" s="17" t="b">
        <f>Template!$D572=Template!$M572</f>
        <v>0</v>
      </c>
      <c r="AE572" s="12" t="s">
        <v>58</v>
      </c>
    </row>
    <row r="573" ht="15.75" customHeight="1">
      <c r="A573" s="7" t="s">
        <v>190</v>
      </c>
      <c r="B573" s="7" t="s">
        <v>160</v>
      </c>
      <c r="C573" s="7" t="s">
        <v>272</v>
      </c>
      <c r="D573" s="13">
        <v>22155.0</v>
      </c>
      <c r="E573" s="7" t="s">
        <v>193</v>
      </c>
      <c r="F573" s="13"/>
      <c r="G573" s="14" t="s">
        <v>63</v>
      </c>
      <c r="H573" s="7" t="s">
        <v>221</v>
      </c>
      <c r="I573" s="7" t="s">
        <v>222</v>
      </c>
      <c r="J573" s="7" t="s">
        <v>70</v>
      </c>
      <c r="K573" s="15">
        <v>44851.0</v>
      </c>
      <c r="L573" s="15">
        <v>29555.0</v>
      </c>
      <c r="M573" s="13">
        <v>19677.0</v>
      </c>
      <c r="N573" s="7"/>
      <c r="O573" s="7"/>
      <c r="P573" s="7">
        <v>13.33</v>
      </c>
      <c r="Q573" s="7"/>
      <c r="R573" s="20"/>
      <c r="S573" s="7"/>
      <c r="T573" s="20"/>
      <c r="U573" s="16">
        <f>SUM(Template!$N573:$O573)*Template!$P573+Template!$Q573</f>
        <v>0</v>
      </c>
      <c r="V573" s="17" t="str">
        <f>IF(Template!$M573="CONSELHO","N",IF(Template!$AA573="N","N1",IF(Template!$AA573="N1","N2",IF(Template!$AA573="N2","N3",IF(Template!$AA573="N3","N4",IF(Template!$AA573="N4","N5",IF(Template!$AA573="N5","N6",IF(Template!$AA573="N6","N7",IF(Template!$AA573="N7","N8",IF(Template!$AA573="N8","N9",IF(Template!$AA573="N9","N10","NA")))))))))))</f>
        <v>N4</v>
      </c>
      <c r="W573" s="17">
        <f>COUNTIF(Template!$M$3:$M$619,Template!$D573)</f>
        <v>0</v>
      </c>
      <c r="X573" s="17" t="str">
        <f>IF(Template!$F573="","",SUMIF(Template!$M$3:$M$619,Template!$D573,Template!$AC$3:$AC$619))</f>
        <v/>
      </c>
      <c r="Y573" s="17" t="str">
        <f>IFERROR(VLOOKUP(Template!$M573,Template!$D$3:$G$619,MATCH("EmployeeJobTitle",Template!$D$2:$G$2,0),FALSE),"NA")</f>
        <v>GERENTE DE LOJA</v>
      </c>
      <c r="Z573" s="17" t="str">
        <f>IFERROR(VLOOKUP(Template!$M573,Template!$D$3:$G$619,MATCH("EmployeeGroup",Template!$D$2:$G$2,0),FALSE),"NA")</f>
        <v>GERENTE</v>
      </c>
      <c r="AA573" s="17" t="str">
        <f>IFERROR(VLOOKUP(Template!$M573,Template!$D$3:$V$619,MATCH("Layer",Template!$D$2:$V$2,0),FALSE),"NA")</f>
        <v>N3</v>
      </c>
      <c r="AB573" s="21">
        <f>VLOOKUP(Template!$M573,Template!$D$3:$F$619,MATCH("InternalGrade",Template!$D$2:$F$2,0),FALSE)-Template!$F573</f>
        <v>0</v>
      </c>
      <c r="AC573" s="17">
        <f>IF(Template!$AB573&lt;=1, 0.8,IF(Template!$AB573=2,0.4,IF(Template!$AB573=3,0.2,IF(Template!$AB573=4,0.1,IF(Template!$AB573&gt;=5,0.05,"erro")))))</f>
        <v>0.8</v>
      </c>
      <c r="AD573" s="17" t="b">
        <f>Template!$D573=Template!$M573</f>
        <v>0</v>
      </c>
      <c r="AE573" s="12" t="s">
        <v>58</v>
      </c>
    </row>
    <row r="574" ht="15.75" customHeight="1">
      <c r="A574" s="7" t="s">
        <v>190</v>
      </c>
      <c r="B574" s="7" t="s">
        <v>160</v>
      </c>
      <c r="C574" s="7" t="s">
        <v>272</v>
      </c>
      <c r="D574" s="13">
        <v>19906.0</v>
      </c>
      <c r="E574" s="7" t="s">
        <v>204</v>
      </c>
      <c r="F574" s="13"/>
      <c r="G574" s="14" t="s">
        <v>63</v>
      </c>
      <c r="H574" s="7" t="s">
        <v>221</v>
      </c>
      <c r="I574" s="7" t="s">
        <v>222</v>
      </c>
      <c r="J574" s="7" t="s">
        <v>70</v>
      </c>
      <c r="K574" s="15">
        <v>44503.0</v>
      </c>
      <c r="L574" s="15">
        <v>31294.0</v>
      </c>
      <c r="M574" s="13">
        <v>19677.0</v>
      </c>
      <c r="N574" s="7"/>
      <c r="O574" s="7"/>
      <c r="P574" s="7">
        <v>13.33</v>
      </c>
      <c r="Q574" s="7"/>
      <c r="R574" s="20"/>
      <c r="S574" s="7"/>
      <c r="T574" s="20"/>
      <c r="U574" s="16">
        <f>SUM(Template!$N574:$O574)*Template!$P574+Template!$Q574</f>
        <v>0</v>
      </c>
      <c r="V574" s="17" t="str">
        <f>IF(Template!$M574="CONSELHO","N",IF(Template!$AA574="N","N1",IF(Template!$AA574="N1","N2",IF(Template!$AA574="N2","N3",IF(Template!$AA574="N3","N4",IF(Template!$AA574="N4","N5",IF(Template!$AA574="N5","N6",IF(Template!$AA574="N6","N7",IF(Template!$AA574="N7","N8",IF(Template!$AA574="N8","N9",IF(Template!$AA574="N9","N10","NA")))))))))))</f>
        <v>N4</v>
      </c>
      <c r="W574" s="17">
        <f>COUNTIF(Template!$M$3:$M$619,Template!$D574)</f>
        <v>0</v>
      </c>
      <c r="X574" s="17" t="str">
        <f>IF(Template!$F574="","",SUMIF(Template!$M$3:$M$619,Template!$D574,Template!$AC$3:$AC$619))</f>
        <v/>
      </c>
      <c r="Y574" s="17" t="str">
        <f>IFERROR(VLOOKUP(Template!$M574,Template!$D$3:$G$619,MATCH("EmployeeJobTitle",Template!$D$2:$G$2,0),FALSE),"NA")</f>
        <v>GERENTE DE LOJA</v>
      </c>
      <c r="Z574" s="17" t="str">
        <f>IFERROR(VLOOKUP(Template!$M574,Template!$D$3:$G$619,MATCH("EmployeeGroup",Template!$D$2:$G$2,0),FALSE),"NA")</f>
        <v>GERENTE</v>
      </c>
      <c r="AA574" s="17" t="str">
        <f>IFERROR(VLOOKUP(Template!$M574,Template!$D$3:$V$619,MATCH("Layer",Template!$D$2:$V$2,0),FALSE),"NA")</f>
        <v>N3</v>
      </c>
      <c r="AB574" s="21">
        <f>VLOOKUP(Template!$M574,Template!$D$3:$F$619,MATCH("InternalGrade",Template!$D$2:$F$2,0),FALSE)-Template!$F574</f>
        <v>0</v>
      </c>
      <c r="AC574" s="17">
        <f>IF(Template!$AB574&lt;=1, 0.8,IF(Template!$AB574=2,0.4,IF(Template!$AB574=3,0.2,IF(Template!$AB574=4,0.1,IF(Template!$AB574&gt;=5,0.05,"erro")))))</f>
        <v>0.8</v>
      </c>
      <c r="AD574" s="17" t="b">
        <f>Template!$D574=Template!$M574</f>
        <v>0</v>
      </c>
      <c r="AE574" s="12" t="s">
        <v>58</v>
      </c>
    </row>
    <row r="575" ht="15.75" customHeight="1">
      <c r="A575" s="7" t="s">
        <v>190</v>
      </c>
      <c r="B575" s="7" t="s">
        <v>160</v>
      </c>
      <c r="C575" s="7" t="s">
        <v>272</v>
      </c>
      <c r="D575" s="13">
        <v>19907.0</v>
      </c>
      <c r="E575" s="7" t="s">
        <v>196</v>
      </c>
      <c r="F575" s="13"/>
      <c r="G575" s="14" t="s">
        <v>63</v>
      </c>
      <c r="H575" s="7" t="s">
        <v>221</v>
      </c>
      <c r="I575" s="7" t="s">
        <v>222</v>
      </c>
      <c r="J575" s="7" t="s">
        <v>70</v>
      </c>
      <c r="K575" s="15">
        <v>44503.0</v>
      </c>
      <c r="L575" s="15">
        <v>37858.0</v>
      </c>
      <c r="M575" s="13">
        <v>19677.0</v>
      </c>
      <c r="N575" s="7">
        <v>1626.0</v>
      </c>
      <c r="O575" s="7"/>
      <c r="P575" s="7">
        <v>13.33</v>
      </c>
      <c r="Q575" s="7"/>
      <c r="R575" s="20"/>
      <c r="S575" s="7"/>
      <c r="T575" s="20"/>
      <c r="U575" s="16">
        <f>SUM(Template!$N575:$O575)*Template!$P575+Template!$Q575</f>
        <v>21674.58</v>
      </c>
      <c r="V575" s="17" t="str">
        <f>IF(Template!$M575="CONSELHO","N",IF(Template!$AA575="N","N1",IF(Template!$AA575="N1","N2",IF(Template!$AA575="N2","N3",IF(Template!$AA575="N3","N4",IF(Template!$AA575="N4","N5",IF(Template!$AA575="N5","N6",IF(Template!$AA575="N6","N7",IF(Template!$AA575="N7","N8",IF(Template!$AA575="N8","N9",IF(Template!$AA575="N9","N10","NA")))))))))))</f>
        <v>N4</v>
      </c>
      <c r="W575" s="17">
        <f>COUNTIF(Template!$M$3:$M$619,Template!$D575)</f>
        <v>0</v>
      </c>
      <c r="X575" s="17" t="str">
        <f>IF(Template!$F575="","",SUMIF(Template!$M$3:$M$619,Template!$D575,Template!$AC$3:$AC$619))</f>
        <v/>
      </c>
      <c r="Y575" s="17" t="str">
        <f>IFERROR(VLOOKUP(Template!$M575,Template!$D$3:$G$619,MATCH("EmployeeJobTitle",Template!$D$2:$G$2,0),FALSE),"NA")</f>
        <v>GERENTE DE LOJA</v>
      </c>
      <c r="Z575" s="17" t="str">
        <f>IFERROR(VLOOKUP(Template!$M575,Template!$D$3:$G$619,MATCH("EmployeeGroup",Template!$D$2:$G$2,0),FALSE),"NA")</f>
        <v>GERENTE</v>
      </c>
      <c r="AA575" s="17" t="str">
        <f>IFERROR(VLOOKUP(Template!$M575,Template!$D$3:$V$619,MATCH("Layer",Template!$D$2:$V$2,0),FALSE),"NA")</f>
        <v>N3</v>
      </c>
      <c r="AB575" s="21">
        <f>VLOOKUP(Template!$M575,Template!$D$3:$F$619,MATCH("InternalGrade",Template!$D$2:$F$2,0),FALSE)-Template!$F575</f>
        <v>0</v>
      </c>
      <c r="AC575" s="17">
        <f>IF(Template!$AB575&lt;=1, 0.8,IF(Template!$AB575=2,0.4,IF(Template!$AB575=3,0.2,IF(Template!$AB575=4,0.1,IF(Template!$AB575&gt;=5,0.05,"erro")))))</f>
        <v>0.8</v>
      </c>
      <c r="AD575" s="17" t="b">
        <f>Template!$D575=Template!$M575</f>
        <v>0</v>
      </c>
      <c r="AE575" s="12" t="s">
        <v>58</v>
      </c>
    </row>
    <row r="576" ht="15.75" customHeight="1">
      <c r="A576" s="7" t="s">
        <v>190</v>
      </c>
      <c r="B576" s="7" t="s">
        <v>209</v>
      </c>
      <c r="C576" s="7" t="s">
        <v>273</v>
      </c>
      <c r="D576" s="13">
        <v>25160.0</v>
      </c>
      <c r="E576" s="7" t="s">
        <v>193</v>
      </c>
      <c r="F576" s="13"/>
      <c r="G576" s="14" t="s">
        <v>63</v>
      </c>
      <c r="H576" s="7" t="s">
        <v>64</v>
      </c>
      <c r="I576" s="7" t="s">
        <v>65</v>
      </c>
      <c r="J576" s="7" t="s">
        <v>70</v>
      </c>
      <c r="K576" s="15">
        <v>45474.0</v>
      </c>
      <c r="L576" s="15">
        <v>32701.0</v>
      </c>
      <c r="M576" s="13">
        <v>15585.0</v>
      </c>
      <c r="N576" s="7"/>
      <c r="O576" s="7"/>
      <c r="P576" s="7">
        <v>13.33</v>
      </c>
      <c r="Q576" s="7"/>
      <c r="R576" s="20"/>
      <c r="S576" s="7"/>
      <c r="T576" s="20"/>
      <c r="U576" s="16">
        <f>SUM(Template!$N576:$O576)*Template!$P576+Template!$Q576</f>
        <v>0</v>
      </c>
      <c r="V576" s="17" t="str">
        <f>IF(Template!$M576="CONSELHO","N",IF(Template!$AA576="N","N1",IF(Template!$AA576="N1","N2",IF(Template!$AA576="N2","N3",IF(Template!$AA576="N3","N4",IF(Template!$AA576="N4","N5",IF(Template!$AA576="N5","N6",IF(Template!$AA576="N6","N7",IF(Template!$AA576="N7","N8",IF(Template!$AA576="N8","N9",IF(Template!$AA576="N9","N10","NA")))))))))))</f>
        <v>N4</v>
      </c>
      <c r="W576" s="17">
        <f>COUNTIF(Template!$M$3:$M$619,Template!$D576)</f>
        <v>0</v>
      </c>
      <c r="X576" s="17" t="str">
        <f>IF(Template!$F576="","",SUMIF(Template!$M$3:$M$619,Template!$D576,Template!$AC$3:$AC$619))</f>
        <v/>
      </c>
      <c r="Y576" s="17" t="str">
        <f>IFERROR(VLOOKUP(Template!$M576,Template!$D$3:$G$619,MATCH("EmployeeJobTitle",Template!$D$2:$G$2,0),FALSE),"NA")</f>
        <v>GERENTE DE LOJA</v>
      </c>
      <c r="Z576" s="17" t="str">
        <f>IFERROR(VLOOKUP(Template!$M576,Template!$D$3:$G$619,MATCH("EmployeeGroup",Template!$D$2:$G$2,0),FALSE),"NA")</f>
        <v>GERENTE</v>
      </c>
      <c r="AA576" s="17" t="str">
        <f>IFERROR(VLOOKUP(Template!$M576,Template!$D$3:$V$619,MATCH("Layer",Template!$D$2:$V$2,0),FALSE),"NA")</f>
        <v>N3</v>
      </c>
      <c r="AB576" s="21">
        <f>VLOOKUP(Template!$M576,Template!$D$3:$F$619,MATCH("InternalGrade",Template!$D$2:$F$2,0),FALSE)-Template!$F576</f>
        <v>0</v>
      </c>
      <c r="AC576" s="17">
        <f>IF(Template!$AB576&lt;=1, 0.8,IF(Template!$AB576=2,0.4,IF(Template!$AB576=3,0.2,IF(Template!$AB576=4,0.1,IF(Template!$AB576&gt;=5,0.05,"erro")))))</f>
        <v>0.8</v>
      </c>
      <c r="AD576" s="17" t="b">
        <f>Template!$D576=Template!$M576</f>
        <v>0</v>
      </c>
      <c r="AE576" s="12" t="s">
        <v>58</v>
      </c>
    </row>
    <row r="577" ht="15.75" customHeight="1">
      <c r="A577" s="7" t="s">
        <v>190</v>
      </c>
      <c r="B577" s="7" t="s">
        <v>209</v>
      </c>
      <c r="C577" s="7" t="s">
        <v>273</v>
      </c>
      <c r="D577" s="13">
        <v>20547.0</v>
      </c>
      <c r="E577" s="7" t="s">
        <v>193</v>
      </c>
      <c r="F577" s="13"/>
      <c r="G577" s="14" t="s">
        <v>63</v>
      </c>
      <c r="H577" s="7" t="s">
        <v>64</v>
      </c>
      <c r="I577" s="7" t="s">
        <v>65</v>
      </c>
      <c r="J577" s="7" t="s">
        <v>70</v>
      </c>
      <c r="K577" s="15">
        <v>44697.0</v>
      </c>
      <c r="L577" s="15">
        <v>28946.0</v>
      </c>
      <c r="M577" s="13">
        <v>15585.0</v>
      </c>
      <c r="N577" s="7"/>
      <c r="O577" s="7"/>
      <c r="P577" s="7">
        <v>13.33</v>
      </c>
      <c r="Q577" s="7"/>
      <c r="R577" s="20"/>
      <c r="S577" s="7"/>
      <c r="T577" s="20"/>
      <c r="U577" s="16">
        <f>SUM(Template!$N577:$O577)*Template!$P577+Template!$Q577</f>
        <v>0</v>
      </c>
      <c r="V577" s="17" t="str">
        <f>IF(Template!$M577="CONSELHO","N",IF(Template!$AA577="N","N1",IF(Template!$AA577="N1","N2",IF(Template!$AA577="N2","N3",IF(Template!$AA577="N3","N4",IF(Template!$AA577="N4","N5",IF(Template!$AA577="N5","N6",IF(Template!$AA577="N6","N7",IF(Template!$AA577="N7","N8",IF(Template!$AA577="N8","N9",IF(Template!$AA577="N9","N10","NA")))))))))))</f>
        <v>N4</v>
      </c>
      <c r="W577" s="17">
        <f>COUNTIF(Template!$M$3:$M$619,Template!$D577)</f>
        <v>0</v>
      </c>
      <c r="X577" s="17" t="str">
        <f>IF(Template!$F577="","",SUMIF(Template!$M$3:$M$619,Template!$D577,Template!$AC$3:$AC$619))</f>
        <v/>
      </c>
      <c r="Y577" s="17" t="str">
        <f>IFERROR(VLOOKUP(Template!$M577,Template!$D$3:$G$619,MATCH("EmployeeJobTitle",Template!$D$2:$G$2,0),FALSE),"NA")</f>
        <v>GERENTE DE LOJA</v>
      </c>
      <c r="Z577" s="17" t="str">
        <f>IFERROR(VLOOKUP(Template!$M577,Template!$D$3:$G$619,MATCH("EmployeeGroup",Template!$D$2:$G$2,0),FALSE),"NA")</f>
        <v>GERENTE</v>
      </c>
      <c r="AA577" s="17" t="str">
        <f>IFERROR(VLOOKUP(Template!$M577,Template!$D$3:$V$619,MATCH("Layer",Template!$D$2:$V$2,0),FALSE),"NA")</f>
        <v>N3</v>
      </c>
      <c r="AB577" s="21">
        <f>VLOOKUP(Template!$M577,Template!$D$3:$F$619,MATCH("InternalGrade",Template!$D$2:$F$2,0),FALSE)-Template!$F577</f>
        <v>0</v>
      </c>
      <c r="AC577" s="17">
        <f>IF(Template!$AB577&lt;=1, 0.8,IF(Template!$AB577=2,0.4,IF(Template!$AB577=3,0.2,IF(Template!$AB577=4,0.1,IF(Template!$AB577&gt;=5,0.05,"erro")))))</f>
        <v>0.8</v>
      </c>
      <c r="AD577" s="17" t="b">
        <f>Template!$D577=Template!$M577</f>
        <v>0</v>
      </c>
      <c r="AE577" s="12" t="s">
        <v>58</v>
      </c>
    </row>
    <row r="578" ht="15.75" customHeight="1">
      <c r="A578" s="7" t="s">
        <v>190</v>
      </c>
      <c r="B578" s="7" t="s">
        <v>209</v>
      </c>
      <c r="C578" s="7" t="s">
        <v>273</v>
      </c>
      <c r="D578" s="13">
        <v>24258.0</v>
      </c>
      <c r="E578" s="7" t="s">
        <v>198</v>
      </c>
      <c r="F578" s="13"/>
      <c r="G578" s="14" t="s">
        <v>63</v>
      </c>
      <c r="H578" s="7" t="s">
        <v>64</v>
      </c>
      <c r="I578" s="7" t="s">
        <v>65</v>
      </c>
      <c r="J578" s="7" t="s">
        <v>70</v>
      </c>
      <c r="K578" s="15">
        <v>45170.0</v>
      </c>
      <c r="L578" s="15">
        <v>23845.0</v>
      </c>
      <c r="M578" s="13">
        <v>15585.0</v>
      </c>
      <c r="N578" s="7">
        <v>1700.0</v>
      </c>
      <c r="O578" s="7"/>
      <c r="P578" s="7">
        <v>13.33</v>
      </c>
      <c r="Q578" s="7"/>
      <c r="R578" s="20"/>
      <c r="S578" s="7"/>
      <c r="T578" s="20"/>
      <c r="U578" s="16">
        <f>SUM(Template!$N578:$O578)*Template!$P578+Template!$Q578</f>
        <v>22661</v>
      </c>
      <c r="V578" s="17" t="str">
        <f>IF(Template!$M578="CONSELHO","N",IF(Template!$AA578="N","N1",IF(Template!$AA578="N1","N2",IF(Template!$AA578="N2","N3",IF(Template!$AA578="N3","N4",IF(Template!$AA578="N4","N5",IF(Template!$AA578="N5","N6",IF(Template!$AA578="N6","N7",IF(Template!$AA578="N7","N8",IF(Template!$AA578="N8","N9",IF(Template!$AA578="N9","N10","NA")))))))))))</f>
        <v>N4</v>
      </c>
      <c r="W578" s="17">
        <f>COUNTIF(Template!$M$3:$M$619,Template!$D578)</f>
        <v>0</v>
      </c>
      <c r="X578" s="17" t="str">
        <f>IF(Template!$F578="","",SUMIF(Template!$M$3:$M$619,Template!$D578,Template!$AC$3:$AC$619))</f>
        <v/>
      </c>
      <c r="Y578" s="17" t="str">
        <f>IFERROR(VLOOKUP(Template!$M578,Template!$D$3:$G$619,MATCH("EmployeeJobTitle",Template!$D$2:$G$2,0),FALSE),"NA")</f>
        <v>GERENTE DE LOJA</v>
      </c>
      <c r="Z578" s="17" t="str">
        <f>IFERROR(VLOOKUP(Template!$M578,Template!$D$3:$G$619,MATCH("EmployeeGroup",Template!$D$2:$G$2,0),FALSE),"NA")</f>
        <v>GERENTE</v>
      </c>
      <c r="AA578" s="17" t="str">
        <f>IFERROR(VLOOKUP(Template!$M578,Template!$D$3:$V$619,MATCH("Layer",Template!$D$2:$V$2,0),FALSE),"NA")</f>
        <v>N3</v>
      </c>
      <c r="AB578" s="21">
        <f>VLOOKUP(Template!$M578,Template!$D$3:$F$619,MATCH("InternalGrade",Template!$D$2:$F$2,0),FALSE)-Template!$F578</f>
        <v>0</v>
      </c>
      <c r="AC578" s="17">
        <f>IF(Template!$AB578&lt;=1, 0.8,IF(Template!$AB578=2,0.4,IF(Template!$AB578=3,0.2,IF(Template!$AB578=4,0.1,IF(Template!$AB578&gt;=5,0.05,"erro")))))</f>
        <v>0.8</v>
      </c>
      <c r="AD578" s="17" t="b">
        <f>Template!$D578=Template!$M578</f>
        <v>0</v>
      </c>
      <c r="AE578" s="12" t="s">
        <v>58</v>
      </c>
    </row>
    <row r="579" ht="15.75" customHeight="1">
      <c r="A579" s="7" t="s">
        <v>190</v>
      </c>
      <c r="B579" s="7" t="s">
        <v>209</v>
      </c>
      <c r="C579" s="7" t="s">
        <v>273</v>
      </c>
      <c r="D579" s="13">
        <v>24443.0</v>
      </c>
      <c r="E579" s="7" t="s">
        <v>193</v>
      </c>
      <c r="F579" s="13"/>
      <c r="G579" s="14" t="s">
        <v>63</v>
      </c>
      <c r="H579" s="7" t="s">
        <v>64</v>
      </c>
      <c r="I579" s="7" t="s">
        <v>65</v>
      </c>
      <c r="J579" s="7" t="s">
        <v>70</v>
      </c>
      <c r="K579" s="15">
        <v>45236.0</v>
      </c>
      <c r="L579" s="15">
        <v>30381.0</v>
      </c>
      <c r="M579" s="13">
        <v>15585.0</v>
      </c>
      <c r="N579" s="7"/>
      <c r="O579" s="7"/>
      <c r="P579" s="7">
        <v>13.33</v>
      </c>
      <c r="Q579" s="7"/>
      <c r="R579" s="20"/>
      <c r="S579" s="7"/>
      <c r="T579" s="20"/>
      <c r="U579" s="16">
        <f>SUM(Template!$N579:$O579)*Template!$P579+Template!$Q579</f>
        <v>0</v>
      </c>
      <c r="V579" s="17" t="str">
        <f>IF(Template!$M579="CONSELHO","N",IF(Template!$AA579="N","N1",IF(Template!$AA579="N1","N2",IF(Template!$AA579="N2","N3",IF(Template!$AA579="N3","N4",IF(Template!$AA579="N4","N5",IF(Template!$AA579="N5","N6",IF(Template!$AA579="N6","N7",IF(Template!$AA579="N7","N8",IF(Template!$AA579="N8","N9",IF(Template!$AA579="N9","N10","NA")))))))))))</f>
        <v>N4</v>
      </c>
      <c r="W579" s="17">
        <f>COUNTIF(Template!$M$3:$M$619,Template!$D579)</f>
        <v>0</v>
      </c>
      <c r="X579" s="17" t="str">
        <f>IF(Template!$F579="","",SUMIF(Template!$M$3:$M$619,Template!$D579,Template!$AC$3:$AC$619))</f>
        <v/>
      </c>
      <c r="Y579" s="17" t="str">
        <f>IFERROR(VLOOKUP(Template!$M579,Template!$D$3:$G$619,MATCH("EmployeeJobTitle",Template!$D$2:$G$2,0),FALSE),"NA")</f>
        <v>GERENTE DE LOJA</v>
      </c>
      <c r="Z579" s="17" t="str">
        <f>IFERROR(VLOOKUP(Template!$M579,Template!$D$3:$G$619,MATCH("EmployeeGroup",Template!$D$2:$G$2,0),FALSE),"NA")</f>
        <v>GERENTE</v>
      </c>
      <c r="AA579" s="17" t="str">
        <f>IFERROR(VLOOKUP(Template!$M579,Template!$D$3:$V$619,MATCH("Layer",Template!$D$2:$V$2,0),FALSE),"NA")</f>
        <v>N3</v>
      </c>
      <c r="AB579" s="21">
        <f>VLOOKUP(Template!$M579,Template!$D$3:$F$619,MATCH("InternalGrade",Template!$D$2:$F$2,0),FALSE)-Template!$F579</f>
        <v>0</v>
      </c>
      <c r="AC579" s="17">
        <f>IF(Template!$AB579&lt;=1, 0.8,IF(Template!$AB579=2,0.4,IF(Template!$AB579=3,0.2,IF(Template!$AB579=4,0.1,IF(Template!$AB579&gt;=5,0.05,"erro")))))</f>
        <v>0.8</v>
      </c>
      <c r="AD579" s="17" t="b">
        <f>Template!$D579=Template!$M579</f>
        <v>0</v>
      </c>
      <c r="AE579" s="12" t="s">
        <v>58</v>
      </c>
    </row>
    <row r="580" ht="15.75" customHeight="1">
      <c r="A580" s="7" t="s">
        <v>190</v>
      </c>
      <c r="B580" s="7" t="s">
        <v>209</v>
      </c>
      <c r="C580" s="7" t="s">
        <v>273</v>
      </c>
      <c r="D580" s="13">
        <v>24003.0</v>
      </c>
      <c r="E580" s="7" t="s">
        <v>193</v>
      </c>
      <c r="F580" s="13"/>
      <c r="G580" s="14" t="s">
        <v>63</v>
      </c>
      <c r="H580" s="7" t="s">
        <v>64</v>
      </c>
      <c r="I580" s="7" t="s">
        <v>65</v>
      </c>
      <c r="J580" s="7" t="s">
        <v>70</v>
      </c>
      <c r="K580" s="15">
        <v>45054.0</v>
      </c>
      <c r="L580" s="15">
        <v>28211.0</v>
      </c>
      <c r="M580" s="13">
        <v>15585.0</v>
      </c>
      <c r="N580" s="7"/>
      <c r="O580" s="7"/>
      <c r="P580" s="7">
        <v>13.33</v>
      </c>
      <c r="Q580" s="7"/>
      <c r="R580" s="20"/>
      <c r="S580" s="7"/>
      <c r="T580" s="20"/>
      <c r="U580" s="16">
        <f>SUM(Template!$N580:$O580)*Template!$P580+Template!$Q580</f>
        <v>0</v>
      </c>
      <c r="V580" s="17" t="str">
        <f>IF(Template!$M580="CONSELHO","N",IF(Template!$AA580="N","N1",IF(Template!$AA580="N1","N2",IF(Template!$AA580="N2","N3",IF(Template!$AA580="N3","N4",IF(Template!$AA580="N4","N5",IF(Template!$AA580="N5","N6",IF(Template!$AA580="N6","N7",IF(Template!$AA580="N7","N8",IF(Template!$AA580="N8","N9",IF(Template!$AA580="N9","N10","NA")))))))))))</f>
        <v>N4</v>
      </c>
      <c r="W580" s="17">
        <f>COUNTIF(Template!$M$3:$M$619,Template!$D580)</f>
        <v>0</v>
      </c>
      <c r="X580" s="17" t="str">
        <f>IF(Template!$F580="","",SUMIF(Template!$M$3:$M$619,Template!$D580,Template!$AC$3:$AC$619))</f>
        <v/>
      </c>
      <c r="Y580" s="17" t="str">
        <f>IFERROR(VLOOKUP(Template!$M580,Template!$D$3:$G$619,MATCH("EmployeeJobTitle",Template!$D$2:$G$2,0),FALSE),"NA")</f>
        <v>GERENTE DE LOJA</v>
      </c>
      <c r="Z580" s="17" t="str">
        <f>IFERROR(VLOOKUP(Template!$M580,Template!$D$3:$G$619,MATCH("EmployeeGroup",Template!$D$2:$G$2,0),FALSE),"NA")</f>
        <v>GERENTE</v>
      </c>
      <c r="AA580" s="17" t="str">
        <f>IFERROR(VLOOKUP(Template!$M580,Template!$D$3:$V$619,MATCH("Layer",Template!$D$2:$V$2,0),FALSE),"NA")</f>
        <v>N3</v>
      </c>
      <c r="AB580" s="21">
        <f>VLOOKUP(Template!$M580,Template!$D$3:$F$619,MATCH("InternalGrade",Template!$D$2:$F$2,0),FALSE)-Template!$F580</f>
        <v>0</v>
      </c>
      <c r="AC580" s="17">
        <f>IF(Template!$AB580&lt;=1, 0.8,IF(Template!$AB580=2,0.4,IF(Template!$AB580=3,0.2,IF(Template!$AB580=4,0.1,IF(Template!$AB580&gt;=5,0.05,"erro")))))</f>
        <v>0.8</v>
      </c>
      <c r="AD580" s="17" t="b">
        <f>Template!$D580=Template!$M580</f>
        <v>0</v>
      </c>
      <c r="AE580" s="12" t="s">
        <v>58</v>
      </c>
    </row>
    <row r="581" ht="15.75" customHeight="1">
      <c r="A581" s="7" t="s">
        <v>190</v>
      </c>
      <c r="B581" s="7" t="s">
        <v>209</v>
      </c>
      <c r="C581" s="7" t="s">
        <v>273</v>
      </c>
      <c r="D581" s="13">
        <v>25444.0</v>
      </c>
      <c r="E581" s="7" t="s">
        <v>196</v>
      </c>
      <c r="F581" s="13"/>
      <c r="G581" s="14" t="s">
        <v>63</v>
      </c>
      <c r="H581" s="7" t="s">
        <v>64</v>
      </c>
      <c r="I581" s="7" t="s">
        <v>65</v>
      </c>
      <c r="J581" s="7" t="s">
        <v>70</v>
      </c>
      <c r="K581" s="15">
        <v>45579.0</v>
      </c>
      <c r="L581" s="15">
        <v>38207.0</v>
      </c>
      <c r="M581" s="13">
        <v>15585.0</v>
      </c>
      <c r="N581" s="7">
        <v>1893.0</v>
      </c>
      <c r="O581" s="7"/>
      <c r="P581" s="7">
        <v>13.33</v>
      </c>
      <c r="Q581" s="7"/>
      <c r="R581" s="20"/>
      <c r="S581" s="7"/>
      <c r="T581" s="20"/>
      <c r="U581" s="16">
        <f>SUM(Template!$N581:$O581)*Template!$P581+Template!$Q581</f>
        <v>25233.69</v>
      </c>
      <c r="V581" s="17" t="str">
        <f>IF(Template!$M581="CONSELHO","N",IF(Template!$AA581="N","N1",IF(Template!$AA581="N1","N2",IF(Template!$AA581="N2","N3",IF(Template!$AA581="N3","N4",IF(Template!$AA581="N4","N5",IF(Template!$AA581="N5","N6",IF(Template!$AA581="N6","N7",IF(Template!$AA581="N7","N8",IF(Template!$AA581="N8","N9",IF(Template!$AA581="N9","N10","NA")))))))))))</f>
        <v>N4</v>
      </c>
      <c r="W581" s="17">
        <f>COUNTIF(Template!$M$3:$M$619,Template!$D581)</f>
        <v>0</v>
      </c>
      <c r="X581" s="17" t="str">
        <f>IF(Template!$F581="","",SUMIF(Template!$M$3:$M$619,Template!$D581,Template!$AC$3:$AC$619))</f>
        <v/>
      </c>
      <c r="Y581" s="17" t="str">
        <f>IFERROR(VLOOKUP(Template!$M581,Template!$D$3:$G$619,MATCH("EmployeeJobTitle",Template!$D$2:$G$2,0),FALSE),"NA")</f>
        <v>GERENTE DE LOJA</v>
      </c>
      <c r="Z581" s="17" t="str">
        <f>IFERROR(VLOOKUP(Template!$M581,Template!$D$3:$G$619,MATCH("EmployeeGroup",Template!$D$2:$G$2,0),FALSE),"NA")</f>
        <v>GERENTE</v>
      </c>
      <c r="AA581" s="17" t="str">
        <f>IFERROR(VLOOKUP(Template!$M581,Template!$D$3:$V$619,MATCH("Layer",Template!$D$2:$V$2,0),FALSE),"NA")</f>
        <v>N3</v>
      </c>
      <c r="AB581" s="21">
        <f>VLOOKUP(Template!$M581,Template!$D$3:$F$619,MATCH("InternalGrade",Template!$D$2:$F$2,0),FALSE)-Template!$F581</f>
        <v>0</v>
      </c>
      <c r="AC581" s="17">
        <f>IF(Template!$AB581&lt;=1, 0.8,IF(Template!$AB581=2,0.4,IF(Template!$AB581=3,0.2,IF(Template!$AB581=4,0.1,IF(Template!$AB581&gt;=5,0.05,"erro")))))</f>
        <v>0.8</v>
      </c>
      <c r="AD581" s="17" t="b">
        <f>Template!$D581=Template!$M581</f>
        <v>0</v>
      </c>
      <c r="AE581" s="12" t="s">
        <v>58</v>
      </c>
    </row>
    <row r="582" ht="15.75" customHeight="1">
      <c r="A582" s="7" t="s">
        <v>190</v>
      </c>
      <c r="B582" s="7" t="s">
        <v>209</v>
      </c>
      <c r="C582" s="7" t="s">
        <v>273</v>
      </c>
      <c r="D582" s="13">
        <v>15585.0</v>
      </c>
      <c r="E582" s="7" t="s">
        <v>199</v>
      </c>
      <c r="F582" s="13"/>
      <c r="G582" s="22" t="s">
        <v>200</v>
      </c>
      <c r="H582" s="7" t="s">
        <v>64</v>
      </c>
      <c r="I582" s="7" t="s">
        <v>65</v>
      </c>
      <c r="J582" s="7" t="s">
        <v>70</v>
      </c>
      <c r="K582" s="15">
        <v>42705.0</v>
      </c>
      <c r="L582" s="15">
        <v>32151.0</v>
      </c>
      <c r="M582" s="13">
        <v>18766.0</v>
      </c>
      <c r="N582" s="7">
        <v>4555.0</v>
      </c>
      <c r="O582" s="7"/>
      <c r="P582" s="7">
        <v>13.33</v>
      </c>
      <c r="Q582" s="7"/>
      <c r="R582" s="20"/>
      <c r="S582" s="7"/>
      <c r="T582" s="20"/>
      <c r="U582" s="16">
        <f>SUM(Template!$N582:$O582)*Template!$P582+Template!$Q582</f>
        <v>60718.15</v>
      </c>
      <c r="V582" s="17" t="str">
        <f>IF(Template!$M582="CONSELHO","N",IF(Template!$AA582="N","N1",IF(Template!$AA582="N1","N2",IF(Template!$AA582="N2","N3",IF(Template!$AA582="N3","N4",IF(Template!$AA582="N4","N5",IF(Template!$AA582="N5","N6",IF(Template!$AA582="N6","N7",IF(Template!$AA582="N7","N8",IF(Template!$AA582="N8","N9",IF(Template!$AA582="N9","N10","NA")))))))))))</f>
        <v>N3</v>
      </c>
      <c r="W582" s="17">
        <f>COUNTIF(Template!$M$3:$M$619,Template!$D582)</f>
        <v>9</v>
      </c>
      <c r="X582" s="17" t="str">
        <f>IF(Template!$F582="","",SUMIF(Template!$M$3:$M$619,Template!$D582,Template!$AC$3:$AC$619))</f>
        <v/>
      </c>
      <c r="Y582" s="17" t="str">
        <f>IFERROR(VLOOKUP(Template!$M582,Template!$D$3:$G$619,MATCH("EmployeeJobTitle",Template!$D$2:$G$2,0),FALSE),"NA")</f>
        <v>GERENTE COMERCIAL</v>
      </c>
      <c r="Z582" s="17" t="str">
        <f>IFERROR(VLOOKUP(Template!$M582,Template!$D$3:$G$619,MATCH("EmployeeGroup",Template!$D$2:$G$2,0),FALSE),"NA")</f>
        <v>Coordenador</v>
      </c>
      <c r="AA582" s="17" t="str">
        <f>IFERROR(VLOOKUP(Template!$M582,Template!$D$3:$V$619,MATCH("Layer",Template!$D$2:$V$2,0),FALSE),"NA")</f>
        <v>N2</v>
      </c>
      <c r="AB582" s="21">
        <f>VLOOKUP(Template!$M582,Template!$D$3:$F$619,MATCH("InternalGrade",Template!$D$2:$F$2,0),FALSE)-Template!$F582</f>
        <v>19</v>
      </c>
      <c r="AC582" s="17">
        <f>IF(Template!$AB582&lt;=1, 0.8,IF(Template!$AB582=2,0.4,IF(Template!$AB582=3,0.2,IF(Template!$AB582=4,0.1,IF(Template!$AB582&gt;=5,0.05,"erro")))))</f>
        <v>0.05</v>
      </c>
      <c r="AD582" s="17" t="b">
        <f>Template!$D582=Template!$M582</f>
        <v>0</v>
      </c>
      <c r="AE582" s="12" t="s">
        <v>58</v>
      </c>
    </row>
    <row r="583" ht="15.75" customHeight="1">
      <c r="A583" s="7" t="s">
        <v>190</v>
      </c>
      <c r="B583" s="7" t="s">
        <v>209</v>
      </c>
      <c r="C583" s="7" t="s">
        <v>273</v>
      </c>
      <c r="D583" s="13">
        <v>20587.0</v>
      </c>
      <c r="E583" s="7" t="s">
        <v>193</v>
      </c>
      <c r="F583" s="13"/>
      <c r="G583" s="14" t="s">
        <v>63</v>
      </c>
      <c r="H583" s="7" t="s">
        <v>64</v>
      </c>
      <c r="I583" s="7" t="s">
        <v>65</v>
      </c>
      <c r="J583" s="7" t="s">
        <v>70</v>
      </c>
      <c r="K583" s="15">
        <v>44713.0</v>
      </c>
      <c r="L583" s="15">
        <v>28929.0</v>
      </c>
      <c r="M583" s="13">
        <v>15585.0</v>
      </c>
      <c r="N583" s="7"/>
      <c r="O583" s="7"/>
      <c r="P583" s="7">
        <v>13.33</v>
      </c>
      <c r="Q583" s="7"/>
      <c r="R583" s="20"/>
      <c r="S583" s="7"/>
      <c r="T583" s="20"/>
      <c r="U583" s="16">
        <f>SUM(Template!$N583:$O583)*Template!$P583+Template!$Q583</f>
        <v>0</v>
      </c>
      <c r="V583" s="17" t="str">
        <f>IF(Template!$M583="CONSELHO","N",IF(Template!$AA583="N","N1",IF(Template!$AA583="N1","N2",IF(Template!$AA583="N2","N3",IF(Template!$AA583="N3","N4",IF(Template!$AA583="N4","N5",IF(Template!$AA583="N5","N6",IF(Template!$AA583="N6","N7",IF(Template!$AA583="N7","N8",IF(Template!$AA583="N8","N9",IF(Template!$AA583="N9","N10","NA")))))))))))</f>
        <v>N4</v>
      </c>
      <c r="W583" s="17">
        <f>COUNTIF(Template!$M$3:$M$619,Template!$D583)</f>
        <v>0</v>
      </c>
      <c r="X583" s="17" t="str">
        <f>IF(Template!$F583="","",SUMIF(Template!$M$3:$M$619,Template!$D583,Template!$AC$3:$AC$619))</f>
        <v/>
      </c>
      <c r="Y583" s="17" t="str">
        <f>IFERROR(VLOOKUP(Template!$M583,Template!$D$3:$G$619,MATCH("EmployeeJobTitle",Template!$D$2:$G$2,0),FALSE),"NA")</f>
        <v>GERENTE DE LOJA</v>
      </c>
      <c r="Z583" s="17" t="str">
        <f>IFERROR(VLOOKUP(Template!$M583,Template!$D$3:$G$619,MATCH("EmployeeGroup",Template!$D$2:$G$2,0),FALSE),"NA")</f>
        <v>GERENTE</v>
      </c>
      <c r="AA583" s="17" t="str">
        <f>IFERROR(VLOOKUP(Template!$M583,Template!$D$3:$V$619,MATCH("Layer",Template!$D$2:$V$2,0),FALSE),"NA")</f>
        <v>N3</v>
      </c>
      <c r="AB583" s="21">
        <f>VLOOKUP(Template!$M583,Template!$D$3:$F$619,MATCH("InternalGrade",Template!$D$2:$F$2,0),FALSE)-Template!$F583</f>
        <v>0</v>
      </c>
      <c r="AC583" s="17">
        <f>IF(Template!$AB583&lt;=1, 0.8,IF(Template!$AB583=2,0.4,IF(Template!$AB583=3,0.2,IF(Template!$AB583=4,0.1,IF(Template!$AB583&gt;=5,0.05,"erro")))))</f>
        <v>0.8</v>
      </c>
      <c r="AD583" s="17" t="b">
        <f>Template!$D583=Template!$M583</f>
        <v>0</v>
      </c>
      <c r="AE583" s="12" t="s">
        <v>58</v>
      </c>
    </row>
    <row r="584" ht="15.75" customHeight="1">
      <c r="A584" s="7" t="s">
        <v>190</v>
      </c>
      <c r="B584" s="7" t="s">
        <v>209</v>
      </c>
      <c r="C584" s="7" t="s">
        <v>273</v>
      </c>
      <c r="D584" s="13">
        <v>18799.0</v>
      </c>
      <c r="E584" s="7" t="s">
        <v>193</v>
      </c>
      <c r="F584" s="13"/>
      <c r="G584" s="14" t="s">
        <v>63</v>
      </c>
      <c r="H584" s="7" t="s">
        <v>64</v>
      </c>
      <c r="I584" s="7" t="s">
        <v>65</v>
      </c>
      <c r="J584" s="7" t="s">
        <v>70</v>
      </c>
      <c r="K584" s="15">
        <v>44125.0</v>
      </c>
      <c r="L584" s="15">
        <v>32817.0</v>
      </c>
      <c r="M584" s="13">
        <v>15585.0</v>
      </c>
      <c r="N584" s="7"/>
      <c r="O584" s="7"/>
      <c r="P584" s="7">
        <v>13.33</v>
      </c>
      <c r="Q584" s="7"/>
      <c r="R584" s="20"/>
      <c r="S584" s="7"/>
      <c r="T584" s="20"/>
      <c r="U584" s="16">
        <f>SUM(Template!$N584:$O584)*Template!$P584+Template!$Q584</f>
        <v>0</v>
      </c>
      <c r="V584" s="17" t="str">
        <f>IF(Template!$M584="CONSELHO","N",IF(Template!$AA584="N","N1",IF(Template!$AA584="N1","N2",IF(Template!$AA584="N2","N3",IF(Template!$AA584="N3","N4",IF(Template!$AA584="N4","N5",IF(Template!$AA584="N5","N6",IF(Template!$AA584="N6","N7",IF(Template!$AA584="N7","N8",IF(Template!$AA584="N8","N9",IF(Template!$AA584="N9","N10","NA")))))))))))</f>
        <v>N4</v>
      </c>
      <c r="W584" s="17">
        <f>COUNTIF(Template!$M$3:$M$619,Template!$D584)</f>
        <v>0</v>
      </c>
      <c r="X584" s="17" t="str">
        <f>IF(Template!$F584="","",SUMIF(Template!$M$3:$M$619,Template!$D584,Template!$AC$3:$AC$619))</f>
        <v/>
      </c>
      <c r="Y584" s="17" t="str">
        <f>IFERROR(VLOOKUP(Template!$M584,Template!$D$3:$G$619,MATCH("EmployeeJobTitle",Template!$D$2:$G$2,0),FALSE),"NA")</f>
        <v>GERENTE DE LOJA</v>
      </c>
      <c r="Z584" s="17" t="str">
        <f>IFERROR(VLOOKUP(Template!$M584,Template!$D$3:$G$619,MATCH("EmployeeGroup",Template!$D$2:$G$2,0),FALSE),"NA")</f>
        <v>GERENTE</v>
      </c>
      <c r="AA584" s="17" t="str">
        <f>IFERROR(VLOOKUP(Template!$M584,Template!$D$3:$V$619,MATCH("Layer",Template!$D$2:$V$2,0),FALSE),"NA")</f>
        <v>N3</v>
      </c>
      <c r="AB584" s="21">
        <f>VLOOKUP(Template!$M584,Template!$D$3:$F$619,MATCH("InternalGrade",Template!$D$2:$F$2,0),FALSE)-Template!$F584</f>
        <v>0</v>
      </c>
      <c r="AC584" s="17">
        <f>IF(Template!$AB584&lt;=1, 0.8,IF(Template!$AB584=2,0.4,IF(Template!$AB584=3,0.2,IF(Template!$AB584=4,0.1,IF(Template!$AB584&gt;=5,0.05,"erro")))))</f>
        <v>0.8</v>
      </c>
      <c r="AD584" s="17" t="b">
        <f>Template!$D584=Template!$M584</f>
        <v>0</v>
      </c>
      <c r="AE584" s="12" t="s">
        <v>58</v>
      </c>
    </row>
    <row r="585" ht="15.75" customHeight="1">
      <c r="A585" s="7" t="s">
        <v>190</v>
      </c>
      <c r="B585" s="7" t="s">
        <v>209</v>
      </c>
      <c r="C585" s="7" t="s">
        <v>273</v>
      </c>
      <c r="D585" s="13">
        <v>25347.0</v>
      </c>
      <c r="E585" s="7" t="s">
        <v>196</v>
      </c>
      <c r="F585" s="13"/>
      <c r="G585" s="14" t="s">
        <v>63</v>
      </c>
      <c r="H585" s="7" t="s">
        <v>64</v>
      </c>
      <c r="I585" s="7" t="s">
        <v>65</v>
      </c>
      <c r="J585" s="7" t="s">
        <v>70</v>
      </c>
      <c r="K585" s="15">
        <v>45537.0</v>
      </c>
      <c r="L585" s="15">
        <v>38482.0</v>
      </c>
      <c r="M585" s="13">
        <v>15585.0</v>
      </c>
      <c r="N585" s="7">
        <v>1893.0</v>
      </c>
      <c r="O585" s="7"/>
      <c r="P585" s="7">
        <v>13.33</v>
      </c>
      <c r="Q585" s="7"/>
      <c r="R585" s="20"/>
      <c r="S585" s="7"/>
      <c r="T585" s="20"/>
      <c r="U585" s="16">
        <f>SUM(Template!$N585:$O585)*Template!$P585+Template!$Q585</f>
        <v>25233.69</v>
      </c>
      <c r="V585" s="17" t="str">
        <f>IF(Template!$M585="CONSELHO","N",IF(Template!$AA585="N","N1",IF(Template!$AA585="N1","N2",IF(Template!$AA585="N2","N3",IF(Template!$AA585="N3","N4",IF(Template!$AA585="N4","N5",IF(Template!$AA585="N5","N6",IF(Template!$AA585="N6","N7",IF(Template!$AA585="N7","N8",IF(Template!$AA585="N8","N9",IF(Template!$AA585="N9","N10","NA")))))))))))</f>
        <v>N4</v>
      </c>
      <c r="W585" s="17">
        <f>COUNTIF(Template!$M$3:$M$619,Template!$D585)</f>
        <v>0</v>
      </c>
      <c r="X585" s="17" t="str">
        <f>IF(Template!$F585="","",SUMIF(Template!$M$3:$M$619,Template!$D585,Template!$AC$3:$AC$619))</f>
        <v/>
      </c>
      <c r="Y585" s="17" t="str">
        <f>IFERROR(VLOOKUP(Template!$M585,Template!$D$3:$G$619,MATCH("EmployeeJobTitle",Template!$D$2:$G$2,0),FALSE),"NA")</f>
        <v>GERENTE DE LOJA</v>
      </c>
      <c r="Z585" s="17" t="str">
        <f>IFERROR(VLOOKUP(Template!$M585,Template!$D$3:$G$619,MATCH("EmployeeGroup",Template!$D$2:$G$2,0),FALSE),"NA")</f>
        <v>GERENTE</v>
      </c>
      <c r="AA585" s="17" t="str">
        <f>IFERROR(VLOOKUP(Template!$M585,Template!$D$3:$V$619,MATCH("Layer",Template!$D$2:$V$2,0),FALSE),"NA")</f>
        <v>N3</v>
      </c>
      <c r="AB585" s="21">
        <f>VLOOKUP(Template!$M585,Template!$D$3:$F$619,MATCH("InternalGrade",Template!$D$2:$F$2,0),FALSE)-Template!$F585</f>
        <v>0</v>
      </c>
      <c r="AC585" s="17">
        <f>IF(Template!$AB585&lt;=1, 0.8,IF(Template!$AB585=2,0.4,IF(Template!$AB585=3,0.2,IF(Template!$AB585=4,0.1,IF(Template!$AB585&gt;=5,0.05,"erro")))))</f>
        <v>0.8</v>
      </c>
      <c r="AD585" s="17" t="b">
        <f>Template!$D585=Template!$M585</f>
        <v>0</v>
      </c>
      <c r="AE585" s="12" t="s">
        <v>58</v>
      </c>
    </row>
    <row r="586" ht="15.75" customHeight="1">
      <c r="A586" s="7" t="s">
        <v>190</v>
      </c>
      <c r="B586" s="7" t="s">
        <v>209</v>
      </c>
      <c r="C586" s="7" t="s">
        <v>274</v>
      </c>
      <c r="D586" s="13">
        <v>24066.0</v>
      </c>
      <c r="E586" s="7" t="s">
        <v>204</v>
      </c>
      <c r="F586" s="13"/>
      <c r="G586" s="14" t="s">
        <v>63</v>
      </c>
      <c r="H586" s="7" t="s">
        <v>64</v>
      </c>
      <c r="I586" s="7" t="s">
        <v>65</v>
      </c>
      <c r="J586" s="7" t="s">
        <v>70</v>
      </c>
      <c r="K586" s="15">
        <v>45082.0</v>
      </c>
      <c r="L586" s="15">
        <v>35614.0</v>
      </c>
      <c r="M586" s="13">
        <v>17800.0</v>
      </c>
      <c r="N586" s="7"/>
      <c r="O586" s="7"/>
      <c r="P586" s="7">
        <v>13.33</v>
      </c>
      <c r="Q586" s="7"/>
      <c r="R586" s="20"/>
      <c r="S586" s="7"/>
      <c r="T586" s="20"/>
      <c r="U586" s="16">
        <f>SUM(Template!$N586:$O586)*Template!$P586+Template!$Q586</f>
        <v>0</v>
      </c>
      <c r="V586" s="17" t="str">
        <f>IF(Template!$M586="CONSELHO","N",IF(Template!$AA586="N","N1",IF(Template!$AA586="N1","N2",IF(Template!$AA586="N2","N3",IF(Template!$AA586="N3","N4",IF(Template!$AA586="N4","N5",IF(Template!$AA586="N5","N6",IF(Template!$AA586="N6","N7",IF(Template!$AA586="N7","N8",IF(Template!$AA586="N8","N9",IF(Template!$AA586="N9","N10","NA")))))))))))</f>
        <v>N4</v>
      </c>
      <c r="W586" s="17">
        <f>COUNTIF(Template!$M$3:$M$619,Template!$D586)</f>
        <v>0</v>
      </c>
      <c r="X586" s="17" t="str">
        <f>IF(Template!$F586="","",SUMIF(Template!$M$3:$M$619,Template!$D586,Template!$AC$3:$AC$619))</f>
        <v/>
      </c>
      <c r="Y586" s="17" t="str">
        <f>IFERROR(VLOOKUP(Template!$M586,Template!$D$3:$G$619,MATCH("EmployeeJobTitle",Template!$D$2:$G$2,0),FALSE),"NA")</f>
        <v>GERENTE DE LOJA</v>
      </c>
      <c r="Z586" s="17" t="str">
        <f>IFERROR(VLOOKUP(Template!$M586,Template!$D$3:$G$619,MATCH("EmployeeGroup",Template!$D$2:$G$2,0),FALSE),"NA")</f>
        <v>GERENTE</v>
      </c>
      <c r="AA586" s="17" t="str">
        <f>IFERROR(VLOOKUP(Template!$M586,Template!$D$3:$V$619,MATCH("Layer",Template!$D$2:$V$2,0),FALSE),"NA")</f>
        <v>N3</v>
      </c>
      <c r="AB586" s="21">
        <f>VLOOKUP(Template!$M586,Template!$D$3:$F$619,MATCH("InternalGrade",Template!$D$2:$F$2,0),FALSE)-Template!$F586</f>
        <v>0</v>
      </c>
      <c r="AC586" s="17">
        <f>IF(Template!$AB586&lt;=1, 0.8,IF(Template!$AB586=2,0.4,IF(Template!$AB586=3,0.2,IF(Template!$AB586=4,0.1,IF(Template!$AB586&gt;=5,0.05,"erro")))))</f>
        <v>0.8</v>
      </c>
      <c r="AD586" s="17" t="b">
        <f>Template!$D586=Template!$M586</f>
        <v>0</v>
      </c>
      <c r="AE586" s="12" t="s">
        <v>58</v>
      </c>
    </row>
    <row r="587" ht="15.75" customHeight="1">
      <c r="A587" s="7" t="s">
        <v>190</v>
      </c>
      <c r="B587" s="7" t="s">
        <v>209</v>
      </c>
      <c r="C587" s="7" t="s">
        <v>274</v>
      </c>
      <c r="D587" s="13">
        <v>24891.0</v>
      </c>
      <c r="E587" s="7" t="s">
        <v>193</v>
      </c>
      <c r="F587" s="13"/>
      <c r="G587" s="14" t="s">
        <v>63</v>
      </c>
      <c r="H587" s="7" t="s">
        <v>64</v>
      </c>
      <c r="I587" s="7" t="s">
        <v>65</v>
      </c>
      <c r="J587" s="7" t="s">
        <v>70</v>
      </c>
      <c r="K587" s="15">
        <v>45343.0</v>
      </c>
      <c r="L587" s="15">
        <v>34121.0</v>
      </c>
      <c r="M587" s="13">
        <v>17800.0</v>
      </c>
      <c r="N587" s="7"/>
      <c r="O587" s="7"/>
      <c r="P587" s="7">
        <v>13.33</v>
      </c>
      <c r="Q587" s="7"/>
      <c r="R587" s="20"/>
      <c r="S587" s="7"/>
      <c r="T587" s="20"/>
      <c r="U587" s="16">
        <f>SUM(Template!$N587:$O587)*Template!$P587+Template!$Q587</f>
        <v>0</v>
      </c>
      <c r="V587" s="17" t="str">
        <f>IF(Template!$M587="CONSELHO","N",IF(Template!$AA587="N","N1",IF(Template!$AA587="N1","N2",IF(Template!$AA587="N2","N3",IF(Template!$AA587="N3","N4",IF(Template!$AA587="N4","N5",IF(Template!$AA587="N5","N6",IF(Template!$AA587="N6","N7",IF(Template!$AA587="N7","N8",IF(Template!$AA587="N8","N9",IF(Template!$AA587="N9","N10","NA")))))))))))</f>
        <v>N4</v>
      </c>
      <c r="W587" s="17">
        <f>COUNTIF(Template!$M$3:$M$619,Template!$D587)</f>
        <v>0</v>
      </c>
      <c r="X587" s="17" t="str">
        <f>IF(Template!$F587="","",SUMIF(Template!$M$3:$M$619,Template!$D587,Template!$AC$3:$AC$619))</f>
        <v/>
      </c>
      <c r="Y587" s="17" t="str">
        <f>IFERROR(VLOOKUP(Template!$M587,Template!$D$3:$G$619,MATCH("EmployeeJobTitle",Template!$D$2:$G$2,0),FALSE),"NA")</f>
        <v>GERENTE DE LOJA</v>
      </c>
      <c r="Z587" s="17" t="str">
        <f>IFERROR(VLOOKUP(Template!$M587,Template!$D$3:$G$619,MATCH("EmployeeGroup",Template!$D$2:$G$2,0),FALSE),"NA")</f>
        <v>GERENTE</v>
      </c>
      <c r="AA587" s="17" t="str">
        <f>IFERROR(VLOOKUP(Template!$M587,Template!$D$3:$V$619,MATCH("Layer",Template!$D$2:$V$2,0),FALSE),"NA")</f>
        <v>N3</v>
      </c>
      <c r="AB587" s="21">
        <f>VLOOKUP(Template!$M587,Template!$D$3:$F$619,MATCH("InternalGrade",Template!$D$2:$F$2,0),FALSE)-Template!$F587</f>
        <v>0</v>
      </c>
      <c r="AC587" s="17">
        <f>IF(Template!$AB587&lt;=1, 0.8,IF(Template!$AB587=2,0.4,IF(Template!$AB587=3,0.2,IF(Template!$AB587=4,0.1,IF(Template!$AB587&gt;=5,0.05,"erro")))))</f>
        <v>0.8</v>
      </c>
      <c r="AD587" s="17" t="b">
        <f>Template!$D587=Template!$M587</f>
        <v>0</v>
      </c>
      <c r="AE587" s="12" t="s">
        <v>58</v>
      </c>
    </row>
    <row r="588" ht="15.75" customHeight="1">
      <c r="A588" s="7" t="s">
        <v>190</v>
      </c>
      <c r="B588" s="7" t="s">
        <v>209</v>
      </c>
      <c r="C588" s="7" t="s">
        <v>274</v>
      </c>
      <c r="D588" s="13">
        <v>20187.0</v>
      </c>
      <c r="E588" s="7" t="s">
        <v>196</v>
      </c>
      <c r="F588" s="13"/>
      <c r="G588" s="14" t="s">
        <v>63</v>
      </c>
      <c r="H588" s="7" t="s">
        <v>64</v>
      </c>
      <c r="I588" s="7" t="s">
        <v>65</v>
      </c>
      <c r="J588" s="7" t="s">
        <v>70</v>
      </c>
      <c r="K588" s="15">
        <v>44531.0</v>
      </c>
      <c r="L588" s="15">
        <v>34792.0</v>
      </c>
      <c r="M588" s="13">
        <v>17800.0</v>
      </c>
      <c r="N588" s="7">
        <v>2017.0</v>
      </c>
      <c r="O588" s="7"/>
      <c r="P588" s="7">
        <v>13.33</v>
      </c>
      <c r="Q588" s="7"/>
      <c r="R588" s="20"/>
      <c r="S588" s="7"/>
      <c r="T588" s="20"/>
      <c r="U588" s="16">
        <f>SUM(Template!$N588:$O588)*Template!$P588+Template!$Q588</f>
        <v>26886.61</v>
      </c>
      <c r="V588" s="17" t="str">
        <f>IF(Template!$M588="CONSELHO","N",IF(Template!$AA588="N","N1",IF(Template!$AA588="N1","N2",IF(Template!$AA588="N2","N3",IF(Template!$AA588="N3","N4",IF(Template!$AA588="N4","N5",IF(Template!$AA588="N5","N6",IF(Template!$AA588="N6","N7",IF(Template!$AA588="N7","N8",IF(Template!$AA588="N8","N9",IF(Template!$AA588="N9","N10","NA")))))))))))</f>
        <v>N4</v>
      </c>
      <c r="W588" s="17">
        <f>COUNTIF(Template!$M$3:$M$619,Template!$D588)</f>
        <v>0</v>
      </c>
      <c r="X588" s="17" t="str">
        <f>IF(Template!$F588="","",SUMIF(Template!$M$3:$M$619,Template!$D588,Template!$AC$3:$AC$619))</f>
        <v/>
      </c>
      <c r="Y588" s="17" t="str">
        <f>IFERROR(VLOOKUP(Template!$M588,Template!$D$3:$G$619,MATCH("EmployeeJobTitle",Template!$D$2:$G$2,0),FALSE),"NA")</f>
        <v>GERENTE DE LOJA</v>
      </c>
      <c r="Z588" s="17" t="str">
        <f>IFERROR(VLOOKUP(Template!$M588,Template!$D$3:$G$619,MATCH("EmployeeGroup",Template!$D$2:$G$2,0),FALSE),"NA")</f>
        <v>GERENTE</v>
      </c>
      <c r="AA588" s="17" t="str">
        <f>IFERROR(VLOOKUP(Template!$M588,Template!$D$3:$V$619,MATCH("Layer",Template!$D$2:$V$2,0),FALSE),"NA")</f>
        <v>N3</v>
      </c>
      <c r="AB588" s="21">
        <f>VLOOKUP(Template!$M588,Template!$D$3:$F$619,MATCH("InternalGrade",Template!$D$2:$F$2,0),FALSE)-Template!$F588</f>
        <v>0</v>
      </c>
      <c r="AC588" s="17">
        <f>IF(Template!$AB588&lt;=1, 0.8,IF(Template!$AB588=2,0.4,IF(Template!$AB588=3,0.2,IF(Template!$AB588=4,0.1,IF(Template!$AB588&gt;=5,0.05,"erro")))))</f>
        <v>0.8</v>
      </c>
      <c r="AD588" s="17" t="b">
        <f>Template!$D588=Template!$M588</f>
        <v>0</v>
      </c>
      <c r="AE588" s="12" t="s">
        <v>58</v>
      </c>
    </row>
    <row r="589" ht="15.75" customHeight="1">
      <c r="A589" s="7" t="s">
        <v>190</v>
      </c>
      <c r="B589" s="7" t="s">
        <v>209</v>
      </c>
      <c r="C589" s="7" t="s">
        <v>274</v>
      </c>
      <c r="D589" s="13">
        <v>17800.0</v>
      </c>
      <c r="E589" s="7" t="s">
        <v>199</v>
      </c>
      <c r="F589" s="13"/>
      <c r="G589" s="22" t="s">
        <v>200</v>
      </c>
      <c r="H589" s="7" t="s">
        <v>64</v>
      </c>
      <c r="I589" s="7" t="s">
        <v>65</v>
      </c>
      <c r="J589" s="7" t="s">
        <v>70</v>
      </c>
      <c r="K589" s="15">
        <v>43678.0</v>
      </c>
      <c r="L589" s="15">
        <v>34623.0</v>
      </c>
      <c r="M589" s="13">
        <v>18766.0</v>
      </c>
      <c r="N589" s="7">
        <v>4184.0</v>
      </c>
      <c r="O589" s="7"/>
      <c r="P589" s="7">
        <v>13.33</v>
      </c>
      <c r="Q589" s="7"/>
      <c r="R589" s="20"/>
      <c r="S589" s="7"/>
      <c r="T589" s="20"/>
      <c r="U589" s="16">
        <f>SUM(Template!$N589:$O589)*Template!$P589+Template!$Q589</f>
        <v>55772.72</v>
      </c>
      <c r="V589" s="17" t="str">
        <f>IF(Template!$M589="CONSELHO","N",IF(Template!$AA589="N","N1",IF(Template!$AA589="N1","N2",IF(Template!$AA589="N2","N3",IF(Template!$AA589="N3","N4",IF(Template!$AA589="N4","N5",IF(Template!$AA589="N5","N6",IF(Template!$AA589="N6","N7",IF(Template!$AA589="N7","N8",IF(Template!$AA589="N8","N9",IF(Template!$AA589="N9","N10","NA")))))))))))</f>
        <v>N3</v>
      </c>
      <c r="W589" s="17">
        <f>COUNTIF(Template!$M$3:$M$619,Template!$D589)</f>
        <v>4</v>
      </c>
      <c r="X589" s="17" t="str">
        <f>IF(Template!$F589="","",SUMIF(Template!$M$3:$M$619,Template!$D589,Template!$AC$3:$AC$619))</f>
        <v/>
      </c>
      <c r="Y589" s="17" t="str">
        <f>IFERROR(VLOOKUP(Template!$M589,Template!$D$3:$G$619,MATCH("EmployeeJobTitle",Template!$D$2:$G$2,0),FALSE),"NA")</f>
        <v>GERENTE COMERCIAL</v>
      </c>
      <c r="Z589" s="17" t="str">
        <f>IFERROR(VLOOKUP(Template!$M589,Template!$D$3:$G$619,MATCH("EmployeeGroup",Template!$D$2:$G$2,0),FALSE),"NA")</f>
        <v>Coordenador</v>
      </c>
      <c r="AA589" s="17" t="str">
        <f>IFERROR(VLOOKUP(Template!$M589,Template!$D$3:$V$619,MATCH("Layer",Template!$D$2:$V$2,0),FALSE),"NA")</f>
        <v>N2</v>
      </c>
      <c r="AB589" s="21">
        <f>VLOOKUP(Template!$M589,Template!$D$3:$F$619,MATCH("InternalGrade",Template!$D$2:$F$2,0),FALSE)-Template!$F589</f>
        <v>19</v>
      </c>
      <c r="AC589" s="17">
        <f>IF(Template!$AB589&lt;=1, 0.8,IF(Template!$AB589=2,0.4,IF(Template!$AB589=3,0.2,IF(Template!$AB589=4,0.1,IF(Template!$AB589&gt;=5,0.05,"erro")))))</f>
        <v>0.05</v>
      </c>
      <c r="AD589" s="17" t="b">
        <f>Template!$D589=Template!$M589</f>
        <v>0</v>
      </c>
      <c r="AE589" s="12" t="s">
        <v>58</v>
      </c>
    </row>
    <row r="590" ht="15.75" customHeight="1">
      <c r="A590" s="7" t="s">
        <v>190</v>
      </c>
      <c r="B590" s="7" t="s">
        <v>209</v>
      </c>
      <c r="C590" s="7" t="s">
        <v>274</v>
      </c>
      <c r="D590" s="13">
        <v>22451.0</v>
      </c>
      <c r="E590" s="7" t="s">
        <v>193</v>
      </c>
      <c r="F590" s="13"/>
      <c r="G590" s="14" t="s">
        <v>63</v>
      </c>
      <c r="H590" s="7" t="s">
        <v>64</v>
      </c>
      <c r="I590" s="7" t="s">
        <v>65</v>
      </c>
      <c r="J590" s="7" t="s">
        <v>70</v>
      </c>
      <c r="K590" s="15">
        <v>44875.0</v>
      </c>
      <c r="L590" s="15">
        <v>31759.0</v>
      </c>
      <c r="M590" s="13">
        <v>17800.0</v>
      </c>
      <c r="N590" s="7"/>
      <c r="O590" s="7"/>
      <c r="P590" s="7">
        <v>13.33</v>
      </c>
      <c r="Q590" s="7"/>
      <c r="R590" s="20"/>
      <c r="S590" s="7"/>
      <c r="T590" s="20"/>
      <c r="U590" s="16">
        <f>SUM(Template!$N590:$O590)*Template!$P590+Template!$Q590</f>
        <v>0</v>
      </c>
      <c r="V590" s="17" t="str">
        <f>IF(Template!$M590="CONSELHO","N",IF(Template!$AA590="N","N1",IF(Template!$AA590="N1","N2",IF(Template!$AA590="N2","N3",IF(Template!$AA590="N3","N4",IF(Template!$AA590="N4","N5",IF(Template!$AA590="N5","N6",IF(Template!$AA590="N6","N7",IF(Template!$AA590="N7","N8",IF(Template!$AA590="N8","N9",IF(Template!$AA590="N9","N10","NA")))))))))))</f>
        <v>N4</v>
      </c>
      <c r="W590" s="17">
        <f>COUNTIF(Template!$M$3:$M$619,Template!$D590)</f>
        <v>0</v>
      </c>
      <c r="X590" s="17" t="str">
        <f>IF(Template!$F590="","",SUMIF(Template!$M$3:$M$619,Template!$D590,Template!$AC$3:$AC$619))</f>
        <v/>
      </c>
      <c r="Y590" s="17" t="str">
        <f>IFERROR(VLOOKUP(Template!$M590,Template!$D$3:$G$619,MATCH("EmployeeJobTitle",Template!$D$2:$G$2,0),FALSE),"NA")</f>
        <v>GERENTE DE LOJA</v>
      </c>
      <c r="Z590" s="17" t="str">
        <f>IFERROR(VLOOKUP(Template!$M590,Template!$D$3:$G$619,MATCH("EmployeeGroup",Template!$D$2:$G$2,0),FALSE),"NA")</f>
        <v>GERENTE</v>
      </c>
      <c r="AA590" s="17" t="str">
        <f>IFERROR(VLOOKUP(Template!$M590,Template!$D$3:$V$619,MATCH("Layer",Template!$D$2:$V$2,0),FALSE),"NA")</f>
        <v>N3</v>
      </c>
      <c r="AB590" s="21">
        <f>VLOOKUP(Template!$M590,Template!$D$3:$F$619,MATCH("InternalGrade",Template!$D$2:$F$2,0),FALSE)-Template!$F590</f>
        <v>0</v>
      </c>
      <c r="AC590" s="17">
        <f>IF(Template!$AB590&lt;=1, 0.8,IF(Template!$AB590=2,0.4,IF(Template!$AB590=3,0.2,IF(Template!$AB590=4,0.1,IF(Template!$AB590&gt;=5,0.05,"erro")))))</f>
        <v>0.8</v>
      </c>
      <c r="AD590" s="17" t="b">
        <f>Template!$D590=Template!$M590</f>
        <v>0</v>
      </c>
      <c r="AE590" s="12" t="s">
        <v>58</v>
      </c>
    </row>
    <row r="591" ht="15.75" customHeight="1">
      <c r="A591" s="7" t="s">
        <v>190</v>
      </c>
      <c r="B591" s="7" t="s">
        <v>209</v>
      </c>
      <c r="C591" s="7" t="s">
        <v>275</v>
      </c>
      <c r="D591" s="13">
        <v>24868.0</v>
      </c>
      <c r="E591" s="7" t="s">
        <v>198</v>
      </c>
      <c r="F591" s="13"/>
      <c r="G591" s="14" t="s">
        <v>63</v>
      </c>
      <c r="H591" s="7" t="s">
        <v>64</v>
      </c>
      <c r="I591" s="7" t="s">
        <v>276</v>
      </c>
      <c r="J591" s="7" t="s">
        <v>70</v>
      </c>
      <c r="K591" s="15">
        <v>45334.0</v>
      </c>
      <c r="L591" s="15">
        <v>38474.0</v>
      </c>
      <c r="M591" s="13">
        <v>24949.0</v>
      </c>
      <c r="N591" s="7">
        <v>1826.0</v>
      </c>
      <c r="O591" s="7"/>
      <c r="P591" s="7">
        <v>13.33</v>
      </c>
      <c r="Q591" s="7"/>
      <c r="R591" s="20"/>
      <c r="S591" s="7"/>
      <c r="T591" s="20"/>
      <c r="U591" s="16">
        <f>SUM(Template!$N591:$O591)*Template!$P591+Template!$Q591</f>
        <v>24340.58</v>
      </c>
      <c r="V591" s="17" t="str">
        <f>IF(Template!$M591="CONSELHO","N",IF(Template!$AA591="N","N1",IF(Template!$AA591="N1","N2",IF(Template!$AA591="N2","N3",IF(Template!$AA591="N3","N4",IF(Template!$AA591="N4","N5",IF(Template!$AA591="N5","N6",IF(Template!$AA591="N6","N7",IF(Template!$AA591="N7","N8",IF(Template!$AA591="N8","N9",IF(Template!$AA591="N9","N10","NA")))))))))))</f>
        <v>N4</v>
      </c>
      <c r="W591" s="17">
        <f>COUNTIF(Template!$M$3:$M$619,Template!$D591)</f>
        <v>0</v>
      </c>
      <c r="X591" s="17" t="str">
        <f>IF(Template!$F591="","",SUMIF(Template!$M$3:$M$619,Template!$D591,Template!$AC$3:$AC$619))</f>
        <v/>
      </c>
      <c r="Y591" s="17" t="str">
        <f>IFERROR(VLOOKUP(Template!$M591,Template!$D$3:$G$619,MATCH("EmployeeJobTitle",Template!$D$2:$G$2,0),FALSE),"NA")</f>
        <v>GERENTE DE LOJA</v>
      </c>
      <c r="Z591" s="17" t="str">
        <f>IFERROR(VLOOKUP(Template!$M591,Template!$D$3:$G$619,MATCH("EmployeeGroup",Template!$D$2:$G$2,0),FALSE),"NA")</f>
        <v>GERENTE</v>
      </c>
      <c r="AA591" s="17" t="str">
        <f>IFERROR(VLOOKUP(Template!$M591,Template!$D$3:$V$619,MATCH("Layer",Template!$D$2:$V$2,0),FALSE),"NA")</f>
        <v>N3</v>
      </c>
      <c r="AB591" s="21">
        <f>VLOOKUP(Template!$M591,Template!$D$3:$F$619,MATCH("InternalGrade",Template!$D$2:$F$2,0),FALSE)-Template!$F591</f>
        <v>0</v>
      </c>
      <c r="AC591" s="17">
        <f>IF(Template!$AB591&lt;=1, 0.8,IF(Template!$AB591=2,0.4,IF(Template!$AB591=3,0.2,IF(Template!$AB591=4,0.1,IF(Template!$AB591&gt;=5,0.05,"erro")))))</f>
        <v>0.8</v>
      </c>
      <c r="AD591" s="17" t="b">
        <f>Template!$D591=Template!$M591</f>
        <v>0</v>
      </c>
      <c r="AE591" s="12" t="s">
        <v>58</v>
      </c>
    </row>
    <row r="592" ht="15.75" customHeight="1">
      <c r="A592" s="7" t="s">
        <v>190</v>
      </c>
      <c r="B592" s="7" t="s">
        <v>209</v>
      </c>
      <c r="C592" s="7" t="s">
        <v>275</v>
      </c>
      <c r="D592" s="13">
        <v>25204.0</v>
      </c>
      <c r="E592" s="7" t="s">
        <v>193</v>
      </c>
      <c r="F592" s="13"/>
      <c r="G592" s="14" t="s">
        <v>63</v>
      </c>
      <c r="H592" s="7" t="s">
        <v>64</v>
      </c>
      <c r="I592" s="7" t="s">
        <v>276</v>
      </c>
      <c r="J592" s="7" t="s">
        <v>70</v>
      </c>
      <c r="K592" s="15">
        <v>45488.0</v>
      </c>
      <c r="L592" s="15">
        <v>33758.0</v>
      </c>
      <c r="M592" s="13">
        <v>24949.0</v>
      </c>
      <c r="N592" s="7"/>
      <c r="O592" s="7"/>
      <c r="P592" s="7">
        <v>13.33</v>
      </c>
      <c r="Q592" s="7"/>
      <c r="R592" s="20"/>
      <c r="S592" s="7"/>
      <c r="T592" s="20"/>
      <c r="U592" s="16">
        <f>SUM(Template!$N592:$O592)*Template!$P592+Template!$Q592</f>
        <v>0</v>
      </c>
      <c r="V592" s="17" t="str">
        <f>IF(Template!$M592="CONSELHO","N",IF(Template!$AA592="N","N1",IF(Template!$AA592="N1","N2",IF(Template!$AA592="N2","N3",IF(Template!$AA592="N3","N4",IF(Template!$AA592="N4","N5",IF(Template!$AA592="N5","N6",IF(Template!$AA592="N6","N7",IF(Template!$AA592="N7","N8",IF(Template!$AA592="N8","N9",IF(Template!$AA592="N9","N10","NA")))))))))))</f>
        <v>N4</v>
      </c>
      <c r="W592" s="17">
        <f>COUNTIF(Template!$M$3:$M$619,Template!$D592)</f>
        <v>0</v>
      </c>
      <c r="X592" s="17" t="str">
        <f>IF(Template!$F592="","",SUMIF(Template!$M$3:$M$619,Template!$D592,Template!$AC$3:$AC$619))</f>
        <v/>
      </c>
      <c r="Y592" s="17" t="str">
        <f>IFERROR(VLOOKUP(Template!$M592,Template!$D$3:$G$619,MATCH("EmployeeJobTitle",Template!$D$2:$G$2,0),FALSE),"NA")</f>
        <v>GERENTE DE LOJA</v>
      </c>
      <c r="Z592" s="17" t="str">
        <f>IFERROR(VLOOKUP(Template!$M592,Template!$D$3:$G$619,MATCH("EmployeeGroup",Template!$D$2:$G$2,0),FALSE),"NA")</f>
        <v>GERENTE</v>
      </c>
      <c r="AA592" s="17" t="str">
        <f>IFERROR(VLOOKUP(Template!$M592,Template!$D$3:$V$619,MATCH("Layer",Template!$D$2:$V$2,0),FALSE),"NA")</f>
        <v>N3</v>
      </c>
      <c r="AB592" s="21">
        <f>VLOOKUP(Template!$M592,Template!$D$3:$F$619,MATCH("InternalGrade",Template!$D$2:$F$2,0),FALSE)-Template!$F592</f>
        <v>0</v>
      </c>
      <c r="AC592" s="17">
        <f>IF(Template!$AB592&lt;=1, 0.8,IF(Template!$AB592=2,0.4,IF(Template!$AB592=3,0.2,IF(Template!$AB592=4,0.1,IF(Template!$AB592&gt;=5,0.05,"erro")))))</f>
        <v>0.8</v>
      </c>
      <c r="AD592" s="17" t="b">
        <f>Template!$D592=Template!$M592</f>
        <v>0</v>
      </c>
      <c r="AE592" s="12" t="s">
        <v>58</v>
      </c>
    </row>
    <row r="593" ht="15.75" customHeight="1">
      <c r="A593" s="7" t="s">
        <v>190</v>
      </c>
      <c r="B593" s="7" t="s">
        <v>209</v>
      </c>
      <c r="C593" s="7" t="s">
        <v>275</v>
      </c>
      <c r="D593" s="13">
        <v>25056.0</v>
      </c>
      <c r="E593" s="7" t="s">
        <v>193</v>
      </c>
      <c r="F593" s="13"/>
      <c r="G593" s="14" t="s">
        <v>63</v>
      </c>
      <c r="H593" s="7" t="s">
        <v>64</v>
      </c>
      <c r="I593" s="7" t="s">
        <v>276</v>
      </c>
      <c r="J593" s="7" t="s">
        <v>70</v>
      </c>
      <c r="K593" s="15">
        <v>45425.0</v>
      </c>
      <c r="L593" s="15">
        <v>38309.0</v>
      </c>
      <c r="M593" s="13">
        <v>24949.0</v>
      </c>
      <c r="N593" s="7"/>
      <c r="O593" s="7"/>
      <c r="P593" s="7">
        <v>13.33</v>
      </c>
      <c r="Q593" s="7"/>
      <c r="R593" s="20"/>
      <c r="S593" s="7"/>
      <c r="T593" s="20"/>
      <c r="U593" s="16">
        <f>SUM(Template!$N593:$O593)*Template!$P593+Template!$Q593</f>
        <v>0</v>
      </c>
      <c r="V593" s="17" t="str">
        <f>IF(Template!$M593="CONSELHO","N",IF(Template!$AA593="N","N1",IF(Template!$AA593="N1","N2",IF(Template!$AA593="N2","N3",IF(Template!$AA593="N3","N4",IF(Template!$AA593="N4","N5",IF(Template!$AA593="N5","N6",IF(Template!$AA593="N6","N7",IF(Template!$AA593="N7","N8",IF(Template!$AA593="N8","N9",IF(Template!$AA593="N9","N10","NA")))))))))))</f>
        <v>N4</v>
      </c>
      <c r="W593" s="17">
        <f>COUNTIF(Template!$M$3:$M$619,Template!$D593)</f>
        <v>0</v>
      </c>
      <c r="X593" s="17" t="str">
        <f>IF(Template!$F593="","",SUMIF(Template!$M$3:$M$619,Template!$D593,Template!$AC$3:$AC$619))</f>
        <v/>
      </c>
      <c r="Y593" s="17" t="str">
        <f>IFERROR(VLOOKUP(Template!$M593,Template!$D$3:$G$619,MATCH("EmployeeJobTitle",Template!$D$2:$G$2,0),FALSE),"NA")</f>
        <v>GERENTE DE LOJA</v>
      </c>
      <c r="Z593" s="17" t="str">
        <f>IFERROR(VLOOKUP(Template!$M593,Template!$D$3:$G$619,MATCH("EmployeeGroup",Template!$D$2:$G$2,0),FALSE),"NA")</f>
        <v>GERENTE</v>
      </c>
      <c r="AA593" s="17" t="str">
        <f>IFERROR(VLOOKUP(Template!$M593,Template!$D$3:$V$619,MATCH("Layer",Template!$D$2:$V$2,0),FALSE),"NA")</f>
        <v>N3</v>
      </c>
      <c r="AB593" s="21">
        <f>VLOOKUP(Template!$M593,Template!$D$3:$F$619,MATCH("InternalGrade",Template!$D$2:$F$2,0),FALSE)-Template!$F593</f>
        <v>0</v>
      </c>
      <c r="AC593" s="17">
        <f>IF(Template!$AB593&lt;=1, 0.8,IF(Template!$AB593=2,0.4,IF(Template!$AB593=3,0.2,IF(Template!$AB593=4,0.1,IF(Template!$AB593&gt;=5,0.05,"erro")))))</f>
        <v>0.8</v>
      </c>
      <c r="AD593" s="17" t="b">
        <f>Template!$D593=Template!$M593</f>
        <v>0</v>
      </c>
      <c r="AE593" s="12" t="s">
        <v>58</v>
      </c>
    </row>
    <row r="594" ht="15.75" customHeight="1">
      <c r="A594" s="7" t="s">
        <v>190</v>
      </c>
      <c r="B594" s="7" t="s">
        <v>209</v>
      </c>
      <c r="C594" s="7" t="s">
        <v>275</v>
      </c>
      <c r="D594" s="13">
        <v>24298.0</v>
      </c>
      <c r="E594" s="7" t="s">
        <v>203</v>
      </c>
      <c r="F594" s="13"/>
      <c r="G594" s="14" t="s">
        <v>63</v>
      </c>
      <c r="H594" s="7" t="s">
        <v>64</v>
      </c>
      <c r="I594" s="7" t="s">
        <v>276</v>
      </c>
      <c r="J594" s="7" t="s">
        <v>70</v>
      </c>
      <c r="K594" s="15">
        <v>45191.0</v>
      </c>
      <c r="L594" s="15">
        <v>32588.0</v>
      </c>
      <c r="M594" s="13">
        <v>24949.0</v>
      </c>
      <c r="N594" s="7"/>
      <c r="O594" s="7"/>
      <c r="P594" s="7">
        <v>13.33</v>
      </c>
      <c r="Q594" s="7"/>
      <c r="R594" s="20"/>
      <c r="S594" s="7"/>
      <c r="T594" s="20"/>
      <c r="U594" s="16">
        <f>SUM(Template!$N594:$O594)*Template!$P594+Template!$Q594</f>
        <v>0</v>
      </c>
      <c r="V594" s="17" t="str">
        <f>IF(Template!$M594="CONSELHO","N",IF(Template!$AA594="N","N1",IF(Template!$AA594="N1","N2",IF(Template!$AA594="N2","N3",IF(Template!$AA594="N3","N4",IF(Template!$AA594="N4","N5",IF(Template!$AA594="N5","N6",IF(Template!$AA594="N6","N7",IF(Template!$AA594="N7","N8",IF(Template!$AA594="N8","N9",IF(Template!$AA594="N9","N10","NA")))))))))))</f>
        <v>N4</v>
      </c>
      <c r="W594" s="17">
        <f>COUNTIF(Template!$M$3:$M$619,Template!$D594)</f>
        <v>0</v>
      </c>
      <c r="X594" s="17" t="str">
        <f>IF(Template!$F594="","",SUMIF(Template!$M$3:$M$619,Template!$D594,Template!$AC$3:$AC$619))</f>
        <v/>
      </c>
      <c r="Y594" s="17" t="str">
        <f>IFERROR(VLOOKUP(Template!$M594,Template!$D$3:$G$619,MATCH("EmployeeJobTitle",Template!$D$2:$G$2,0),FALSE),"NA")</f>
        <v>GERENTE DE LOJA</v>
      </c>
      <c r="Z594" s="17" t="str">
        <f>IFERROR(VLOOKUP(Template!$M594,Template!$D$3:$G$619,MATCH("EmployeeGroup",Template!$D$2:$G$2,0),FALSE),"NA")</f>
        <v>GERENTE</v>
      </c>
      <c r="AA594" s="17" t="str">
        <f>IFERROR(VLOOKUP(Template!$M594,Template!$D$3:$V$619,MATCH("Layer",Template!$D$2:$V$2,0),FALSE),"NA")</f>
        <v>N3</v>
      </c>
      <c r="AB594" s="21">
        <f>VLOOKUP(Template!$M594,Template!$D$3:$F$619,MATCH("InternalGrade",Template!$D$2:$F$2,0),FALSE)-Template!$F594</f>
        <v>0</v>
      </c>
      <c r="AC594" s="17">
        <f>IF(Template!$AB594&lt;=1, 0.8,IF(Template!$AB594=2,0.4,IF(Template!$AB594=3,0.2,IF(Template!$AB594=4,0.1,IF(Template!$AB594&gt;=5,0.05,"erro")))))</f>
        <v>0.8</v>
      </c>
      <c r="AD594" s="17" t="b">
        <f>Template!$D594=Template!$M594</f>
        <v>0</v>
      </c>
      <c r="AE594" s="12" t="s">
        <v>58</v>
      </c>
    </row>
    <row r="595" ht="15.75" customHeight="1">
      <c r="A595" s="7" t="s">
        <v>190</v>
      </c>
      <c r="B595" s="7" t="s">
        <v>209</v>
      </c>
      <c r="C595" s="7" t="s">
        <v>275</v>
      </c>
      <c r="D595" s="13">
        <v>25450.0</v>
      </c>
      <c r="E595" s="7" t="s">
        <v>193</v>
      </c>
      <c r="F595" s="13"/>
      <c r="G595" s="14" t="s">
        <v>63</v>
      </c>
      <c r="H595" s="7" t="s">
        <v>64</v>
      </c>
      <c r="I595" s="7" t="s">
        <v>276</v>
      </c>
      <c r="J595" s="7" t="s">
        <v>70</v>
      </c>
      <c r="K595" s="15">
        <v>45579.0</v>
      </c>
      <c r="L595" s="15">
        <v>37913.0</v>
      </c>
      <c r="M595" s="13">
        <v>24949.0</v>
      </c>
      <c r="N595" s="7"/>
      <c r="O595" s="7"/>
      <c r="P595" s="7">
        <v>13.33</v>
      </c>
      <c r="Q595" s="7"/>
      <c r="R595" s="20"/>
      <c r="S595" s="7"/>
      <c r="T595" s="20"/>
      <c r="U595" s="16">
        <f>SUM(Template!$N595:$O595)*Template!$P595+Template!$Q595</f>
        <v>0</v>
      </c>
      <c r="V595" s="17" t="str">
        <f>IF(Template!$M595="CONSELHO","N",IF(Template!$AA595="N","N1",IF(Template!$AA595="N1","N2",IF(Template!$AA595="N2","N3",IF(Template!$AA595="N3","N4",IF(Template!$AA595="N4","N5",IF(Template!$AA595="N5","N6",IF(Template!$AA595="N6","N7",IF(Template!$AA595="N7","N8",IF(Template!$AA595="N8","N9",IF(Template!$AA595="N9","N10","NA")))))))))))</f>
        <v>N4</v>
      </c>
      <c r="W595" s="17">
        <f>COUNTIF(Template!$M$3:$M$619,Template!$D595)</f>
        <v>0</v>
      </c>
      <c r="X595" s="17" t="str">
        <f>IF(Template!$F595="","",SUMIF(Template!$M$3:$M$619,Template!$D595,Template!$AC$3:$AC$619))</f>
        <v/>
      </c>
      <c r="Y595" s="17" t="str">
        <f>IFERROR(VLOOKUP(Template!$M595,Template!$D$3:$G$619,MATCH("EmployeeJobTitle",Template!$D$2:$G$2,0),FALSE),"NA")</f>
        <v>GERENTE DE LOJA</v>
      </c>
      <c r="Z595" s="17" t="str">
        <f>IFERROR(VLOOKUP(Template!$M595,Template!$D$3:$G$619,MATCH("EmployeeGroup",Template!$D$2:$G$2,0),FALSE),"NA")</f>
        <v>GERENTE</v>
      </c>
      <c r="AA595" s="17" t="str">
        <f>IFERROR(VLOOKUP(Template!$M595,Template!$D$3:$V$619,MATCH("Layer",Template!$D$2:$V$2,0),FALSE),"NA")</f>
        <v>N3</v>
      </c>
      <c r="AB595" s="21">
        <f>VLOOKUP(Template!$M595,Template!$D$3:$F$619,MATCH("InternalGrade",Template!$D$2:$F$2,0),FALSE)-Template!$F595</f>
        <v>0</v>
      </c>
      <c r="AC595" s="17">
        <f>IF(Template!$AB595&lt;=1, 0.8,IF(Template!$AB595=2,0.4,IF(Template!$AB595=3,0.2,IF(Template!$AB595=4,0.1,IF(Template!$AB595&gt;=5,0.05,"erro")))))</f>
        <v>0.8</v>
      </c>
      <c r="AD595" s="17" t="b">
        <f>Template!$D595=Template!$M595</f>
        <v>0</v>
      </c>
      <c r="AE595" s="12" t="s">
        <v>58</v>
      </c>
    </row>
    <row r="596" ht="15.75" customHeight="1">
      <c r="A596" s="7" t="s">
        <v>190</v>
      </c>
      <c r="B596" s="7" t="s">
        <v>209</v>
      </c>
      <c r="C596" s="7" t="s">
        <v>275</v>
      </c>
      <c r="D596" s="13">
        <v>24370.0</v>
      </c>
      <c r="E596" s="7" t="s">
        <v>193</v>
      </c>
      <c r="F596" s="13"/>
      <c r="G596" s="14" t="s">
        <v>63</v>
      </c>
      <c r="H596" s="7" t="s">
        <v>64</v>
      </c>
      <c r="I596" s="7" t="s">
        <v>276</v>
      </c>
      <c r="J596" s="7" t="s">
        <v>70</v>
      </c>
      <c r="K596" s="15">
        <v>45215.0</v>
      </c>
      <c r="L596" s="15">
        <v>34069.0</v>
      </c>
      <c r="M596" s="13">
        <v>24949.0</v>
      </c>
      <c r="N596" s="7"/>
      <c r="O596" s="7"/>
      <c r="P596" s="7">
        <v>13.33</v>
      </c>
      <c r="Q596" s="7"/>
      <c r="R596" s="20"/>
      <c r="S596" s="7"/>
      <c r="T596" s="20"/>
      <c r="U596" s="16">
        <f>SUM(Template!$N596:$O596)*Template!$P596+Template!$Q596</f>
        <v>0</v>
      </c>
      <c r="V596" s="17" t="str">
        <f>IF(Template!$M596="CONSELHO","N",IF(Template!$AA596="N","N1",IF(Template!$AA596="N1","N2",IF(Template!$AA596="N2","N3",IF(Template!$AA596="N3","N4",IF(Template!$AA596="N4","N5",IF(Template!$AA596="N5","N6",IF(Template!$AA596="N6","N7",IF(Template!$AA596="N7","N8",IF(Template!$AA596="N8","N9",IF(Template!$AA596="N9","N10","NA")))))))))))</f>
        <v>N4</v>
      </c>
      <c r="W596" s="17">
        <f>COUNTIF(Template!$M$3:$M$619,Template!$D596)</f>
        <v>0</v>
      </c>
      <c r="X596" s="17" t="str">
        <f>IF(Template!$F596="","",SUMIF(Template!$M$3:$M$619,Template!$D596,Template!$AC$3:$AC$619))</f>
        <v/>
      </c>
      <c r="Y596" s="17" t="str">
        <f>IFERROR(VLOOKUP(Template!$M596,Template!$D$3:$G$619,MATCH("EmployeeJobTitle",Template!$D$2:$G$2,0),FALSE),"NA")</f>
        <v>GERENTE DE LOJA</v>
      </c>
      <c r="Z596" s="17" t="str">
        <f>IFERROR(VLOOKUP(Template!$M596,Template!$D$3:$G$619,MATCH("EmployeeGroup",Template!$D$2:$G$2,0),FALSE),"NA")</f>
        <v>GERENTE</v>
      </c>
      <c r="AA596" s="17" t="str">
        <f>IFERROR(VLOOKUP(Template!$M596,Template!$D$3:$V$619,MATCH("Layer",Template!$D$2:$V$2,0),FALSE),"NA")</f>
        <v>N3</v>
      </c>
      <c r="AB596" s="21">
        <f>VLOOKUP(Template!$M596,Template!$D$3:$F$619,MATCH("InternalGrade",Template!$D$2:$F$2,0),FALSE)-Template!$F596</f>
        <v>0</v>
      </c>
      <c r="AC596" s="17">
        <f>IF(Template!$AB596&lt;=1, 0.8,IF(Template!$AB596=2,0.4,IF(Template!$AB596=3,0.2,IF(Template!$AB596=4,0.1,IF(Template!$AB596&gt;=5,0.05,"erro")))))</f>
        <v>0.8</v>
      </c>
      <c r="AD596" s="17" t="b">
        <f>Template!$D596=Template!$M596</f>
        <v>0</v>
      </c>
      <c r="AE596" s="12" t="s">
        <v>58</v>
      </c>
    </row>
    <row r="597" ht="15.75" customHeight="1">
      <c r="A597" s="7" t="s">
        <v>190</v>
      </c>
      <c r="B597" s="7" t="s">
        <v>209</v>
      </c>
      <c r="C597" s="7" t="s">
        <v>275</v>
      </c>
      <c r="D597" s="13">
        <v>25317.0</v>
      </c>
      <c r="E597" s="7" t="s">
        <v>193</v>
      </c>
      <c r="F597" s="13"/>
      <c r="G597" s="14" t="s">
        <v>63</v>
      </c>
      <c r="H597" s="7" t="s">
        <v>64</v>
      </c>
      <c r="I597" s="7" t="s">
        <v>276</v>
      </c>
      <c r="J597" s="7" t="s">
        <v>70</v>
      </c>
      <c r="K597" s="15">
        <v>45523.0</v>
      </c>
      <c r="L597" s="15">
        <v>31835.0</v>
      </c>
      <c r="M597" s="13">
        <v>24949.0</v>
      </c>
      <c r="N597" s="7"/>
      <c r="O597" s="7"/>
      <c r="P597" s="7">
        <v>13.33</v>
      </c>
      <c r="Q597" s="7"/>
      <c r="R597" s="20"/>
      <c r="S597" s="7"/>
      <c r="T597" s="20"/>
      <c r="U597" s="16">
        <f>SUM(Template!$N597:$O597)*Template!$P597+Template!$Q597</f>
        <v>0</v>
      </c>
      <c r="V597" s="17" t="str">
        <f>IF(Template!$M597="CONSELHO","N",IF(Template!$AA597="N","N1",IF(Template!$AA597="N1","N2",IF(Template!$AA597="N2","N3",IF(Template!$AA597="N3","N4",IF(Template!$AA597="N4","N5",IF(Template!$AA597="N5","N6",IF(Template!$AA597="N6","N7",IF(Template!$AA597="N7","N8",IF(Template!$AA597="N8","N9",IF(Template!$AA597="N9","N10","NA")))))))))))</f>
        <v>N4</v>
      </c>
      <c r="W597" s="17">
        <f>COUNTIF(Template!$M$3:$M$619,Template!$D597)</f>
        <v>0</v>
      </c>
      <c r="X597" s="17" t="str">
        <f>IF(Template!$F597="","",SUMIF(Template!$M$3:$M$619,Template!$D597,Template!$AC$3:$AC$619))</f>
        <v/>
      </c>
      <c r="Y597" s="17" t="str">
        <f>IFERROR(VLOOKUP(Template!$M597,Template!$D$3:$G$619,MATCH("EmployeeJobTitle",Template!$D$2:$G$2,0),FALSE),"NA")</f>
        <v>GERENTE DE LOJA</v>
      </c>
      <c r="Z597" s="17" t="str">
        <f>IFERROR(VLOOKUP(Template!$M597,Template!$D$3:$G$619,MATCH("EmployeeGroup",Template!$D$2:$G$2,0),FALSE),"NA")</f>
        <v>GERENTE</v>
      </c>
      <c r="AA597" s="17" t="str">
        <f>IFERROR(VLOOKUP(Template!$M597,Template!$D$3:$V$619,MATCH("Layer",Template!$D$2:$V$2,0),FALSE),"NA")</f>
        <v>N3</v>
      </c>
      <c r="AB597" s="21">
        <f>VLOOKUP(Template!$M597,Template!$D$3:$F$619,MATCH("InternalGrade",Template!$D$2:$F$2,0),FALSE)-Template!$F597</f>
        <v>0</v>
      </c>
      <c r="AC597" s="17">
        <f>IF(Template!$AB597&lt;=1, 0.8,IF(Template!$AB597=2,0.4,IF(Template!$AB597=3,0.2,IF(Template!$AB597=4,0.1,IF(Template!$AB597&gt;=5,0.05,"erro")))))</f>
        <v>0.8</v>
      </c>
      <c r="AD597" s="17" t="b">
        <f>Template!$D597=Template!$M597</f>
        <v>0</v>
      </c>
      <c r="AE597" s="12" t="s">
        <v>58</v>
      </c>
    </row>
    <row r="598" ht="15.75" customHeight="1">
      <c r="A598" s="7" t="s">
        <v>190</v>
      </c>
      <c r="B598" s="7" t="s">
        <v>209</v>
      </c>
      <c r="C598" s="7" t="s">
        <v>275</v>
      </c>
      <c r="D598" s="13">
        <v>24949.0</v>
      </c>
      <c r="E598" s="7" t="s">
        <v>199</v>
      </c>
      <c r="F598" s="13"/>
      <c r="G598" s="22" t="s">
        <v>200</v>
      </c>
      <c r="H598" s="7" t="s">
        <v>64</v>
      </c>
      <c r="I598" s="7" t="s">
        <v>276</v>
      </c>
      <c r="J598" s="7" t="s">
        <v>70</v>
      </c>
      <c r="K598" s="15">
        <v>45383.0</v>
      </c>
      <c r="L598" s="15">
        <v>27837.0</v>
      </c>
      <c r="M598" s="13">
        <v>18766.0</v>
      </c>
      <c r="N598" s="7">
        <v>4184.0</v>
      </c>
      <c r="O598" s="7"/>
      <c r="P598" s="7">
        <v>13.33</v>
      </c>
      <c r="Q598" s="7"/>
      <c r="R598" s="20"/>
      <c r="S598" s="7"/>
      <c r="T598" s="20"/>
      <c r="U598" s="16">
        <f>SUM(Template!$N598:$O598)*Template!$P598+Template!$Q598</f>
        <v>55772.72</v>
      </c>
      <c r="V598" s="17" t="str">
        <f>IF(Template!$M598="CONSELHO","N",IF(Template!$AA598="N","N1",IF(Template!$AA598="N1","N2",IF(Template!$AA598="N2","N3",IF(Template!$AA598="N3","N4",IF(Template!$AA598="N4","N5",IF(Template!$AA598="N5","N6",IF(Template!$AA598="N6","N7",IF(Template!$AA598="N7","N8",IF(Template!$AA598="N8","N9",IF(Template!$AA598="N9","N10","NA")))))))))))</f>
        <v>N3</v>
      </c>
      <c r="W598" s="17">
        <f>COUNTIF(Template!$M$3:$M$619,Template!$D598)</f>
        <v>9</v>
      </c>
      <c r="X598" s="17" t="str">
        <f>IF(Template!$F598="","",SUMIF(Template!$M$3:$M$619,Template!$D598,Template!$AC$3:$AC$619))</f>
        <v/>
      </c>
      <c r="Y598" s="17" t="str">
        <f>IFERROR(VLOOKUP(Template!$M598,Template!$D$3:$G$619,MATCH("EmployeeJobTitle",Template!$D$2:$G$2,0),FALSE),"NA")</f>
        <v>GERENTE COMERCIAL</v>
      </c>
      <c r="Z598" s="17" t="str">
        <f>IFERROR(VLOOKUP(Template!$M598,Template!$D$3:$G$619,MATCH("EmployeeGroup",Template!$D$2:$G$2,0),FALSE),"NA")</f>
        <v>Coordenador</v>
      </c>
      <c r="AA598" s="17" t="str">
        <f>IFERROR(VLOOKUP(Template!$M598,Template!$D$3:$V$619,MATCH("Layer",Template!$D$2:$V$2,0),FALSE),"NA")</f>
        <v>N2</v>
      </c>
      <c r="AB598" s="21">
        <f>VLOOKUP(Template!$M598,Template!$D$3:$F$619,MATCH("InternalGrade",Template!$D$2:$F$2,0),FALSE)-Template!$F598</f>
        <v>19</v>
      </c>
      <c r="AC598" s="17">
        <f>IF(Template!$AB598&lt;=1, 0.8,IF(Template!$AB598=2,0.4,IF(Template!$AB598=3,0.2,IF(Template!$AB598=4,0.1,IF(Template!$AB598&gt;=5,0.05,"erro")))))</f>
        <v>0.05</v>
      </c>
      <c r="AD598" s="17" t="b">
        <f>Template!$D598=Template!$M598</f>
        <v>0</v>
      </c>
      <c r="AE598" s="12" t="s">
        <v>58</v>
      </c>
    </row>
    <row r="599" ht="15.75" customHeight="1">
      <c r="A599" s="7" t="s">
        <v>190</v>
      </c>
      <c r="B599" s="7" t="s">
        <v>209</v>
      </c>
      <c r="C599" s="7" t="s">
        <v>275</v>
      </c>
      <c r="D599" s="13">
        <v>25436.0</v>
      </c>
      <c r="E599" s="7" t="s">
        <v>196</v>
      </c>
      <c r="F599" s="13"/>
      <c r="G599" s="14" t="s">
        <v>63</v>
      </c>
      <c r="H599" s="7" t="s">
        <v>64</v>
      </c>
      <c r="I599" s="7" t="s">
        <v>276</v>
      </c>
      <c r="J599" s="7" t="s">
        <v>70</v>
      </c>
      <c r="K599" s="15">
        <v>45572.0</v>
      </c>
      <c r="L599" s="15">
        <v>32072.0</v>
      </c>
      <c r="M599" s="13">
        <v>24949.0</v>
      </c>
      <c r="N599" s="7">
        <v>1963.0</v>
      </c>
      <c r="O599" s="7"/>
      <c r="P599" s="7">
        <v>13.33</v>
      </c>
      <c r="Q599" s="7"/>
      <c r="R599" s="20"/>
      <c r="S599" s="7"/>
      <c r="T599" s="20"/>
      <c r="U599" s="16">
        <f>SUM(Template!$N599:$O599)*Template!$P599+Template!$Q599</f>
        <v>26166.79</v>
      </c>
      <c r="V599" s="17" t="str">
        <f>IF(Template!$M599="CONSELHO","N",IF(Template!$AA599="N","N1",IF(Template!$AA599="N1","N2",IF(Template!$AA599="N2","N3",IF(Template!$AA599="N3","N4",IF(Template!$AA599="N4","N5",IF(Template!$AA599="N5","N6",IF(Template!$AA599="N6","N7",IF(Template!$AA599="N7","N8",IF(Template!$AA599="N8","N9",IF(Template!$AA599="N9","N10","NA")))))))))))</f>
        <v>N4</v>
      </c>
      <c r="W599" s="17">
        <f>COUNTIF(Template!$M$3:$M$619,Template!$D599)</f>
        <v>0</v>
      </c>
      <c r="X599" s="17" t="str">
        <f>IF(Template!$F599="","",SUMIF(Template!$M$3:$M$619,Template!$D599,Template!$AC$3:$AC$619))</f>
        <v/>
      </c>
      <c r="Y599" s="17" t="str">
        <f>IFERROR(VLOOKUP(Template!$M599,Template!$D$3:$G$619,MATCH("EmployeeJobTitle",Template!$D$2:$G$2,0),FALSE),"NA")</f>
        <v>GERENTE DE LOJA</v>
      </c>
      <c r="Z599" s="17" t="str">
        <f>IFERROR(VLOOKUP(Template!$M599,Template!$D$3:$G$619,MATCH("EmployeeGroup",Template!$D$2:$G$2,0),FALSE),"NA")</f>
        <v>GERENTE</v>
      </c>
      <c r="AA599" s="17" t="str">
        <f>IFERROR(VLOOKUP(Template!$M599,Template!$D$3:$V$619,MATCH("Layer",Template!$D$2:$V$2,0),FALSE),"NA")</f>
        <v>N3</v>
      </c>
      <c r="AB599" s="21">
        <f>VLOOKUP(Template!$M599,Template!$D$3:$F$619,MATCH("InternalGrade",Template!$D$2:$F$2,0),FALSE)-Template!$F599</f>
        <v>0</v>
      </c>
      <c r="AC599" s="17">
        <f>IF(Template!$AB599&lt;=1, 0.8,IF(Template!$AB599=2,0.4,IF(Template!$AB599=3,0.2,IF(Template!$AB599=4,0.1,IF(Template!$AB599&gt;=5,0.05,"erro")))))</f>
        <v>0.8</v>
      </c>
      <c r="AD599" s="17" t="b">
        <f>Template!$D599=Template!$M599</f>
        <v>0</v>
      </c>
      <c r="AE599" s="12" t="s">
        <v>58</v>
      </c>
    </row>
    <row r="600" ht="15.75" customHeight="1">
      <c r="A600" s="7" t="s">
        <v>190</v>
      </c>
      <c r="B600" s="7" t="s">
        <v>209</v>
      </c>
      <c r="C600" s="7" t="s">
        <v>275</v>
      </c>
      <c r="D600" s="13">
        <v>25046.0</v>
      </c>
      <c r="E600" s="7" t="s">
        <v>193</v>
      </c>
      <c r="F600" s="13"/>
      <c r="G600" s="14" t="s">
        <v>63</v>
      </c>
      <c r="H600" s="7" t="s">
        <v>64</v>
      </c>
      <c r="I600" s="7" t="s">
        <v>276</v>
      </c>
      <c r="J600" s="7" t="s">
        <v>70</v>
      </c>
      <c r="K600" s="15">
        <v>45418.0</v>
      </c>
      <c r="L600" s="15">
        <v>38058.0</v>
      </c>
      <c r="M600" s="13">
        <v>24949.0</v>
      </c>
      <c r="N600" s="7"/>
      <c r="O600" s="7"/>
      <c r="P600" s="7">
        <v>13.33</v>
      </c>
      <c r="Q600" s="7"/>
      <c r="R600" s="20"/>
      <c r="S600" s="7"/>
      <c r="T600" s="20"/>
      <c r="U600" s="16">
        <f>SUM(Template!$N600:$O600)*Template!$P600+Template!$Q600</f>
        <v>0</v>
      </c>
      <c r="V600" s="17" t="str">
        <f>IF(Template!$M600="CONSELHO","N",IF(Template!$AA600="N","N1",IF(Template!$AA600="N1","N2",IF(Template!$AA600="N2","N3",IF(Template!$AA600="N3","N4",IF(Template!$AA600="N4","N5",IF(Template!$AA600="N5","N6",IF(Template!$AA600="N6","N7",IF(Template!$AA600="N7","N8",IF(Template!$AA600="N8","N9",IF(Template!$AA600="N9","N10","NA")))))))))))</f>
        <v>N4</v>
      </c>
      <c r="W600" s="17">
        <f>COUNTIF(Template!$M$3:$M$619,Template!$D600)</f>
        <v>0</v>
      </c>
      <c r="X600" s="17" t="str">
        <f>IF(Template!$F600="","",SUMIF(Template!$M$3:$M$619,Template!$D600,Template!$AC$3:$AC$619))</f>
        <v/>
      </c>
      <c r="Y600" s="17" t="str">
        <f>IFERROR(VLOOKUP(Template!$M600,Template!$D$3:$G$619,MATCH("EmployeeJobTitle",Template!$D$2:$G$2,0),FALSE),"NA")</f>
        <v>GERENTE DE LOJA</v>
      </c>
      <c r="Z600" s="17" t="str">
        <f>IFERROR(VLOOKUP(Template!$M600,Template!$D$3:$G$619,MATCH("EmployeeGroup",Template!$D$2:$G$2,0),FALSE),"NA")</f>
        <v>GERENTE</v>
      </c>
      <c r="AA600" s="17" t="str">
        <f>IFERROR(VLOOKUP(Template!$M600,Template!$D$3:$V$619,MATCH("Layer",Template!$D$2:$V$2,0),FALSE),"NA")</f>
        <v>N3</v>
      </c>
      <c r="AB600" s="21">
        <f>VLOOKUP(Template!$M600,Template!$D$3:$F$619,MATCH("InternalGrade",Template!$D$2:$F$2,0),FALSE)-Template!$F600</f>
        <v>0</v>
      </c>
      <c r="AC600" s="17">
        <f>IF(Template!$AB600&lt;=1, 0.8,IF(Template!$AB600=2,0.4,IF(Template!$AB600=3,0.2,IF(Template!$AB600=4,0.1,IF(Template!$AB600&gt;=5,0.05,"erro")))))</f>
        <v>0.8</v>
      </c>
      <c r="AD600" s="17" t="b">
        <f>Template!$D600=Template!$M600</f>
        <v>0</v>
      </c>
      <c r="AE600" s="12" t="s">
        <v>58</v>
      </c>
    </row>
    <row r="601" ht="15.75" customHeight="1">
      <c r="A601" s="7" t="s">
        <v>190</v>
      </c>
      <c r="B601" s="7" t="s">
        <v>160</v>
      </c>
      <c r="C601" s="7" t="s">
        <v>275</v>
      </c>
      <c r="D601" s="13">
        <v>25375.0</v>
      </c>
      <c r="E601" s="7" t="s">
        <v>193</v>
      </c>
      <c r="F601" s="13"/>
      <c r="G601" s="14" t="s">
        <v>63</v>
      </c>
      <c r="H601" s="7" t="s">
        <v>224</v>
      </c>
      <c r="I601" s="7" t="s">
        <v>277</v>
      </c>
      <c r="J601" s="7" t="s">
        <v>70</v>
      </c>
      <c r="K601" s="15">
        <v>45551.0</v>
      </c>
      <c r="L601" s="15">
        <v>38822.0</v>
      </c>
      <c r="M601" s="13">
        <v>25078.0</v>
      </c>
      <c r="N601" s="7"/>
      <c r="O601" s="7"/>
      <c r="P601" s="7">
        <v>13.33</v>
      </c>
      <c r="Q601" s="7"/>
      <c r="R601" s="20"/>
      <c r="S601" s="7"/>
      <c r="T601" s="20"/>
      <c r="U601" s="16">
        <f>SUM(Template!$N601:$O601)*Template!$P601+Template!$Q601</f>
        <v>0</v>
      </c>
      <c r="V601" s="17" t="str">
        <f>IF(Template!$M601="CONSELHO","N",IF(Template!$AA601="N","N1",IF(Template!$AA601="N1","N2",IF(Template!$AA601="N2","N3",IF(Template!$AA601="N3","N4",IF(Template!$AA601="N4","N5",IF(Template!$AA601="N5","N6",IF(Template!$AA601="N6","N7",IF(Template!$AA601="N7","N8",IF(Template!$AA601="N8","N9",IF(Template!$AA601="N9","N10","NA")))))))))))</f>
        <v>N4</v>
      </c>
      <c r="W601" s="17">
        <f>COUNTIF(Template!$M$3:$M$619,Template!$D601)</f>
        <v>0</v>
      </c>
      <c r="X601" s="17" t="str">
        <f>IF(Template!$F601="","",SUMIF(Template!$M$3:$M$619,Template!$D601,Template!$AC$3:$AC$619))</f>
        <v/>
      </c>
      <c r="Y601" s="17" t="str">
        <f>IFERROR(VLOOKUP(Template!$M601,Template!$D$3:$G$619,MATCH("EmployeeJobTitle",Template!$D$2:$G$2,0),FALSE),"NA")</f>
        <v>GERENTE DE LOJA</v>
      </c>
      <c r="Z601" s="17" t="str">
        <f>IFERROR(VLOOKUP(Template!$M601,Template!$D$3:$G$619,MATCH("EmployeeGroup",Template!$D$2:$G$2,0),FALSE),"NA")</f>
        <v>GERENTE</v>
      </c>
      <c r="AA601" s="17" t="str">
        <f>IFERROR(VLOOKUP(Template!$M601,Template!$D$3:$V$619,MATCH("Layer",Template!$D$2:$V$2,0),FALSE),"NA")</f>
        <v>N3</v>
      </c>
      <c r="AB601" s="21">
        <f>VLOOKUP(Template!$M601,Template!$D$3:$F$619,MATCH("InternalGrade",Template!$D$2:$F$2,0),FALSE)-Template!$F601</f>
        <v>0</v>
      </c>
      <c r="AC601" s="17">
        <f>IF(Template!$AB601&lt;=1, 0.8,IF(Template!$AB601=2,0.4,IF(Template!$AB601=3,0.2,IF(Template!$AB601=4,0.1,IF(Template!$AB601&gt;=5,0.05,"erro")))))</f>
        <v>0.8</v>
      </c>
      <c r="AD601" s="17" t="b">
        <f>Template!$D601=Template!$M601</f>
        <v>0</v>
      </c>
      <c r="AE601" s="12" t="s">
        <v>58</v>
      </c>
    </row>
    <row r="602" ht="15.75" customHeight="1">
      <c r="A602" s="7" t="s">
        <v>190</v>
      </c>
      <c r="B602" s="7" t="s">
        <v>160</v>
      </c>
      <c r="C602" s="7" t="s">
        <v>275</v>
      </c>
      <c r="D602" s="13">
        <v>25249.0</v>
      </c>
      <c r="E602" s="7" t="s">
        <v>193</v>
      </c>
      <c r="F602" s="13"/>
      <c r="G602" s="14" t="s">
        <v>63</v>
      </c>
      <c r="H602" s="7" t="s">
        <v>224</v>
      </c>
      <c r="I602" s="7" t="s">
        <v>277</v>
      </c>
      <c r="J602" s="7" t="s">
        <v>70</v>
      </c>
      <c r="K602" s="15">
        <v>45509.0</v>
      </c>
      <c r="L602" s="15">
        <v>37635.0</v>
      </c>
      <c r="M602" s="13">
        <v>25078.0</v>
      </c>
      <c r="N602" s="7"/>
      <c r="O602" s="7"/>
      <c r="P602" s="7">
        <v>13.33</v>
      </c>
      <c r="Q602" s="7"/>
      <c r="R602" s="20"/>
      <c r="S602" s="7"/>
      <c r="T602" s="20"/>
      <c r="U602" s="16">
        <f>SUM(Template!$N602:$O602)*Template!$P602+Template!$Q602</f>
        <v>0</v>
      </c>
      <c r="V602" s="17" t="str">
        <f>IF(Template!$M602="CONSELHO","N",IF(Template!$AA602="N","N1",IF(Template!$AA602="N1","N2",IF(Template!$AA602="N2","N3",IF(Template!$AA602="N3","N4",IF(Template!$AA602="N4","N5",IF(Template!$AA602="N5","N6",IF(Template!$AA602="N6","N7",IF(Template!$AA602="N7","N8",IF(Template!$AA602="N8","N9",IF(Template!$AA602="N9","N10","NA")))))))))))</f>
        <v>N4</v>
      </c>
      <c r="W602" s="17">
        <f>COUNTIF(Template!$M$3:$M$619,Template!$D602)</f>
        <v>0</v>
      </c>
      <c r="X602" s="17" t="str">
        <f>IF(Template!$F602="","",SUMIF(Template!$M$3:$M$619,Template!$D602,Template!$AC$3:$AC$619))</f>
        <v/>
      </c>
      <c r="Y602" s="17" t="str">
        <f>IFERROR(VLOOKUP(Template!$M602,Template!$D$3:$G$619,MATCH("EmployeeJobTitle",Template!$D$2:$G$2,0),FALSE),"NA")</f>
        <v>GERENTE DE LOJA</v>
      </c>
      <c r="Z602" s="17" t="str">
        <f>IFERROR(VLOOKUP(Template!$M602,Template!$D$3:$G$619,MATCH("EmployeeGroup",Template!$D$2:$G$2,0),FALSE),"NA")</f>
        <v>GERENTE</v>
      </c>
      <c r="AA602" s="17" t="str">
        <f>IFERROR(VLOOKUP(Template!$M602,Template!$D$3:$V$619,MATCH("Layer",Template!$D$2:$V$2,0),FALSE),"NA")</f>
        <v>N3</v>
      </c>
      <c r="AB602" s="21">
        <f>VLOOKUP(Template!$M602,Template!$D$3:$F$619,MATCH("InternalGrade",Template!$D$2:$F$2,0),FALSE)-Template!$F602</f>
        <v>0</v>
      </c>
      <c r="AC602" s="17">
        <f>IF(Template!$AB602&lt;=1, 0.8,IF(Template!$AB602=2,0.4,IF(Template!$AB602=3,0.2,IF(Template!$AB602=4,0.1,IF(Template!$AB602&gt;=5,0.05,"erro")))))</f>
        <v>0.8</v>
      </c>
      <c r="AD602" s="17" t="b">
        <f>Template!$D602=Template!$M602</f>
        <v>0</v>
      </c>
      <c r="AE602" s="12" t="s">
        <v>58</v>
      </c>
    </row>
    <row r="603" ht="15.75" customHeight="1">
      <c r="A603" s="7" t="s">
        <v>190</v>
      </c>
      <c r="B603" s="7" t="s">
        <v>160</v>
      </c>
      <c r="C603" s="7" t="s">
        <v>275</v>
      </c>
      <c r="D603" s="13">
        <v>24848.0</v>
      </c>
      <c r="E603" s="7" t="s">
        <v>204</v>
      </c>
      <c r="F603" s="13"/>
      <c r="G603" s="14" t="s">
        <v>63</v>
      </c>
      <c r="H603" s="7" t="s">
        <v>224</v>
      </c>
      <c r="I603" s="7" t="s">
        <v>277</v>
      </c>
      <c r="J603" s="7" t="s">
        <v>70</v>
      </c>
      <c r="K603" s="15">
        <v>45323.0</v>
      </c>
      <c r="L603" s="15">
        <v>36918.0</v>
      </c>
      <c r="M603" s="13">
        <v>25078.0</v>
      </c>
      <c r="N603" s="7"/>
      <c r="O603" s="7"/>
      <c r="P603" s="7">
        <v>13.33</v>
      </c>
      <c r="Q603" s="7"/>
      <c r="R603" s="20"/>
      <c r="S603" s="7"/>
      <c r="T603" s="20"/>
      <c r="U603" s="16">
        <f>SUM(Template!$N603:$O603)*Template!$P603+Template!$Q603</f>
        <v>0</v>
      </c>
      <c r="V603" s="17" t="str">
        <f>IF(Template!$M603="CONSELHO","N",IF(Template!$AA603="N","N1",IF(Template!$AA603="N1","N2",IF(Template!$AA603="N2","N3",IF(Template!$AA603="N3","N4",IF(Template!$AA603="N4","N5",IF(Template!$AA603="N5","N6",IF(Template!$AA603="N6","N7",IF(Template!$AA603="N7","N8",IF(Template!$AA603="N8","N9",IF(Template!$AA603="N9","N10","NA")))))))))))</f>
        <v>N4</v>
      </c>
      <c r="W603" s="17">
        <f>COUNTIF(Template!$M$3:$M$619,Template!$D603)</f>
        <v>0</v>
      </c>
      <c r="X603" s="17" t="str">
        <f>IF(Template!$F603="","",SUMIF(Template!$M$3:$M$619,Template!$D603,Template!$AC$3:$AC$619))</f>
        <v/>
      </c>
      <c r="Y603" s="17" t="str">
        <f>IFERROR(VLOOKUP(Template!$M603,Template!$D$3:$G$619,MATCH("EmployeeJobTitle",Template!$D$2:$G$2,0),FALSE),"NA")</f>
        <v>GERENTE DE LOJA</v>
      </c>
      <c r="Z603" s="17" t="str">
        <f>IFERROR(VLOOKUP(Template!$M603,Template!$D$3:$G$619,MATCH("EmployeeGroup",Template!$D$2:$G$2,0),FALSE),"NA")</f>
        <v>GERENTE</v>
      </c>
      <c r="AA603" s="17" t="str">
        <f>IFERROR(VLOOKUP(Template!$M603,Template!$D$3:$V$619,MATCH("Layer",Template!$D$2:$V$2,0),FALSE),"NA")</f>
        <v>N3</v>
      </c>
      <c r="AB603" s="21">
        <f>VLOOKUP(Template!$M603,Template!$D$3:$F$619,MATCH("InternalGrade",Template!$D$2:$F$2,0),FALSE)-Template!$F603</f>
        <v>0</v>
      </c>
      <c r="AC603" s="17">
        <f>IF(Template!$AB603&lt;=1, 0.8,IF(Template!$AB603=2,0.4,IF(Template!$AB603=3,0.2,IF(Template!$AB603=4,0.1,IF(Template!$AB603&gt;=5,0.05,"erro")))))</f>
        <v>0.8</v>
      </c>
      <c r="AD603" s="17" t="b">
        <f>Template!$D603=Template!$M603</f>
        <v>0</v>
      </c>
      <c r="AE603" s="12" t="s">
        <v>58</v>
      </c>
    </row>
    <row r="604" ht="15.75" customHeight="1">
      <c r="A604" s="7" t="s">
        <v>190</v>
      </c>
      <c r="B604" s="7" t="s">
        <v>160</v>
      </c>
      <c r="C604" s="7" t="s">
        <v>275</v>
      </c>
      <c r="D604" s="13">
        <v>25055.0</v>
      </c>
      <c r="E604" s="7" t="s">
        <v>196</v>
      </c>
      <c r="F604" s="13"/>
      <c r="G604" s="14" t="s">
        <v>63</v>
      </c>
      <c r="H604" s="7" t="s">
        <v>224</v>
      </c>
      <c r="I604" s="7" t="s">
        <v>277</v>
      </c>
      <c r="J604" s="7" t="s">
        <v>70</v>
      </c>
      <c r="K604" s="15">
        <v>45425.0</v>
      </c>
      <c r="L604" s="15">
        <v>36989.0</v>
      </c>
      <c r="M604" s="13">
        <v>25078.0</v>
      </c>
      <c r="N604" s="7">
        <v>1412.0</v>
      </c>
      <c r="O604" s="7"/>
      <c r="P604" s="7">
        <v>13.33</v>
      </c>
      <c r="Q604" s="7"/>
      <c r="R604" s="20"/>
      <c r="S604" s="7"/>
      <c r="T604" s="20"/>
      <c r="U604" s="16">
        <f>SUM(Template!$N604:$O604)*Template!$P604+Template!$Q604</f>
        <v>18821.96</v>
      </c>
      <c r="V604" s="17" t="str">
        <f>IF(Template!$M604="CONSELHO","N",IF(Template!$AA604="N","N1",IF(Template!$AA604="N1","N2",IF(Template!$AA604="N2","N3",IF(Template!$AA604="N3","N4",IF(Template!$AA604="N4","N5",IF(Template!$AA604="N5","N6",IF(Template!$AA604="N6","N7",IF(Template!$AA604="N7","N8",IF(Template!$AA604="N8","N9",IF(Template!$AA604="N9","N10","NA")))))))))))</f>
        <v>N4</v>
      </c>
      <c r="W604" s="17">
        <f>COUNTIF(Template!$M$3:$M$619,Template!$D604)</f>
        <v>0</v>
      </c>
      <c r="X604" s="17" t="str">
        <f>IF(Template!$F604="","",SUMIF(Template!$M$3:$M$619,Template!$D604,Template!$AC$3:$AC$619))</f>
        <v/>
      </c>
      <c r="Y604" s="17" t="str">
        <f>IFERROR(VLOOKUP(Template!$M604,Template!$D$3:$G$619,MATCH("EmployeeJobTitle",Template!$D$2:$G$2,0),FALSE),"NA")</f>
        <v>GERENTE DE LOJA</v>
      </c>
      <c r="Z604" s="17" t="str">
        <f>IFERROR(VLOOKUP(Template!$M604,Template!$D$3:$G$619,MATCH("EmployeeGroup",Template!$D$2:$G$2,0),FALSE),"NA")</f>
        <v>GERENTE</v>
      </c>
      <c r="AA604" s="17" t="str">
        <f>IFERROR(VLOOKUP(Template!$M604,Template!$D$3:$V$619,MATCH("Layer",Template!$D$2:$V$2,0),FALSE),"NA")</f>
        <v>N3</v>
      </c>
      <c r="AB604" s="21">
        <f>VLOOKUP(Template!$M604,Template!$D$3:$F$619,MATCH("InternalGrade",Template!$D$2:$F$2,0),FALSE)-Template!$F604</f>
        <v>0</v>
      </c>
      <c r="AC604" s="17">
        <f>IF(Template!$AB604&lt;=1, 0.8,IF(Template!$AB604=2,0.4,IF(Template!$AB604=3,0.2,IF(Template!$AB604=4,0.1,IF(Template!$AB604&gt;=5,0.05,"erro")))))</f>
        <v>0.8</v>
      </c>
      <c r="AD604" s="17" t="b">
        <f>Template!$D604=Template!$M604</f>
        <v>0</v>
      </c>
      <c r="AE604" s="12" t="s">
        <v>58</v>
      </c>
    </row>
    <row r="605" ht="15.75" customHeight="1">
      <c r="A605" s="7" t="s">
        <v>190</v>
      </c>
      <c r="B605" s="7" t="s">
        <v>160</v>
      </c>
      <c r="C605" s="7" t="s">
        <v>275</v>
      </c>
      <c r="D605" s="13">
        <v>25078.0</v>
      </c>
      <c r="E605" s="7" t="s">
        <v>199</v>
      </c>
      <c r="F605" s="13"/>
      <c r="G605" s="22" t="s">
        <v>200</v>
      </c>
      <c r="H605" s="7" t="s">
        <v>224</v>
      </c>
      <c r="I605" s="7" t="s">
        <v>277</v>
      </c>
      <c r="J605" s="7" t="s">
        <v>70</v>
      </c>
      <c r="K605" s="15">
        <v>45432.0</v>
      </c>
      <c r="L605" s="15">
        <v>26386.0</v>
      </c>
      <c r="M605" s="13">
        <v>12404.0</v>
      </c>
      <c r="N605" s="7">
        <v>4184.0</v>
      </c>
      <c r="O605" s="7"/>
      <c r="P605" s="7">
        <v>13.33</v>
      </c>
      <c r="Q605" s="7"/>
      <c r="R605" s="20"/>
      <c r="S605" s="7"/>
      <c r="T605" s="20"/>
      <c r="U605" s="16">
        <f>SUM(Template!$N605:$O605)*Template!$P605+Template!$Q605</f>
        <v>55772.72</v>
      </c>
      <c r="V605" s="17" t="str">
        <f>IF(Template!$M605="CONSELHO","N",IF(Template!$AA605="N","N1",IF(Template!$AA605="N1","N2",IF(Template!$AA605="N2","N3",IF(Template!$AA605="N3","N4",IF(Template!$AA605="N4","N5",IF(Template!$AA605="N5","N6",IF(Template!$AA605="N6","N7",IF(Template!$AA605="N7","N8",IF(Template!$AA605="N8","N9",IF(Template!$AA605="N9","N10","NA")))))))))))</f>
        <v>N3</v>
      </c>
      <c r="W605" s="17">
        <f>COUNTIF(Template!$M$3:$M$619,Template!$D605)</f>
        <v>6</v>
      </c>
      <c r="X605" s="17" t="str">
        <f>IF(Template!$F605="","",SUMIF(Template!$M$3:$M$619,Template!$D605,Template!$AC$3:$AC$619))</f>
        <v/>
      </c>
      <c r="Y605" s="17" t="str">
        <f>IFERROR(VLOOKUP(Template!$M605,Template!$D$3:$G$619,MATCH("EmployeeJobTitle",Template!$D$2:$G$2,0),FALSE),"NA")</f>
        <v>GERENTE COMERCIAL</v>
      </c>
      <c r="Z605" s="17" t="str">
        <f>IFERROR(VLOOKUP(Template!$M605,Template!$D$3:$G$619,MATCH("EmployeeGroup",Template!$D$2:$G$2,0),FALSE),"NA")</f>
        <v>Coordenador</v>
      </c>
      <c r="AA605" s="17" t="str">
        <f>IFERROR(VLOOKUP(Template!$M605,Template!$D$3:$V$619,MATCH("Layer",Template!$D$2:$V$2,0),FALSE),"NA")</f>
        <v>N2</v>
      </c>
      <c r="AB605" s="21">
        <f>VLOOKUP(Template!$M605,Template!$D$3:$F$619,MATCH("InternalGrade",Template!$D$2:$F$2,0),FALSE)-Template!$F605</f>
        <v>19</v>
      </c>
      <c r="AC605" s="17">
        <f>IF(Template!$AB605&lt;=1, 0.8,IF(Template!$AB605=2,0.4,IF(Template!$AB605=3,0.2,IF(Template!$AB605=4,0.1,IF(Template!$AB605&gt;=5,0.05,"erro")))))</f>
        <v>0.05</v>
      </c>
      <c r="AD605" s="17" t="b">
        <f>Template!$D605=Template!$M605</f>
        <v>0</v>
      </c>
      <c r="AE605" s="12" t="s">
        <v>58</v>
      </c>
    </row>
    <row r="606" ht="15.75" customHeight="1">
      <c r="A606" s="7" t="s">
        <v>190</v>
      </c>
      <c r="B606" s="7" t="s">
        <v>160</v>
      </c>
      <c r="C606" s="7" t="s">
        <v>275</v>
      </c>
      <c r="D606" s="13">
        <v>25392.0</v>
      </c>
      <c r="E606" s="7" t="s">
        <v>198</v>
      </c>
      <c r="F606" s="13"/>
      <c r="G606" s="14" t="s">
        <v>63</v>
      </c>
      <c r="H606" s="7" t="s">
        <v>224</v>
      </c>
      <c r="I606" s="7" t="s">
        <v>277</v>
      </c>
      <c r="J606" s="7" t="s">
        <v>70</v>
      </c>
      <c r="K606" s="15">
        <v>45554.0</v>
      </c>
      <c r="L606" s="15">
        <v>37735.0</v>
      </c>
      <c r="M606" s="13">
        <v>25078.0</v>
      </c>
      <c r="N606" s="7">
        <v>1412.0</v>
      </c>
      <c r="O606" s="7"/>
      <c r="P606" s="7">
        <v>13.33</v>
      </c>
      <c r="Q606" s="7"/>
      <c r="R606" s="20"/>
      <c r="S606" s="7"/>
      <c r="T606" s="20"/>
      <c r="U606" s="16">
        <f>SUM(Template!$N606:$O606)*Template!$P606+Template!$Q606</f>
        <v>18821.96</v>
      </c>
      <c r="V606" s="17" t="str">
        <f>IF(Template!$M606="CONSELHO","N",IF(Template!$AA606="N","N1",IF(Template!$AA606="N1","N2",IF(Template!$AA606="N2","N3",IF(Template!$AA606="N3","N4",IF(Template!$AA606="N4","N5",IF(Template!$AA606="N5","N6",IF(Template!$AA606="N6","N7",IF(Template!$AA606="N7","N8",IF(Template!$AA606="N8","N9",IF(Template!$AA606="N9","N10","NA")))))))))))</f>
        <v>N4</v>
      </c>
      <c r="W606" s="17">
        <f>COUNTIF(Template!$M$3:$M$619,Template!$D606)</f>
        <v>0</v>
      </c>
      <c r="X606" s="17" t="str">
        <f>IF(Template!$F606="","",SUMIF(Template!$M$3:$M$619,Template!$D606,Template!$AC$3:$AC$619))</f>
        <v/>
      </c>
      <c r="Y606" s="17" t="str">
        <f>IFERROR(VLOOKUP(Template!$M606,Template!$D$3:$G$619,MATCH("EmployeeJobTitle",Template!$D$2:$G$2,0),FALSE),"NA")</f>
        <v>GERENTE DE LOJA</v>
      </c>
      <c r="Z606" s="17" t="str">
        <f>IFERROR(VLOOKUP(Template!$M606,Template!$D$3:$G$619,MATCH("EmployeeGroup",Template!$D$2:$G$2,0),FALSE),"NA")</f>
        <v>GERENTE</v>
      </c>
      <c r="AA606" s="17" t="str">
        <f>IFERROR(VLOOKUP(Template!$M606,Template!$D$3:$V$619,MATCH("Layer",Template!$D$2:$V$2,0),FALSE),"NA")</f>
        <v>N3</v>
      </c>
      <c r="AB606" s="21">
        <f>VLOOKUP(Template!$M606,Template!$D$3:$F$619,MATCH("InternalGrade",Template!$D$2:$F$2,0),FALSE)-Template!$F606</f>
        <v>0</v>
      </c>
      <c r="AC606" s="17">
        <f>IF(Template!$AB606&lt;=1, 0.8,IF(Template!$AB606=2,0.4,IF(Template!$AB606=3,0.2,IF(Template!$AB606=4,0.1,IF(Template!$AB606&gt;=5,0.05,"erro")))))</f>
        <v>0.8</v>
      </c>
      <c r="AD606" s="17" t="b">
        <f>Template!$D606=Template!$M606</f>
        <v>0</v>
      </c>
      <c r="AE606" s="12" t="s">
        <v>58</v>
      </c>
    </row>
    <row r="607" ht="15.75" customHeight="1">
      <c r="A607" s="7" t="s">
        <v>190</v>
      </c>
      <c r="B607" s="7" t="s">
        <v>160</v>
      </c>
      <c r="C607" s="7" t="s">
        <v>275</v>
      </c>
      <c r="D607" s="13">
        <v>24950.0</v>
      </c>
      <c r="E607" s="7" t="s">
        <v>193</v>
      </c>
      <c r="F607" s="13"/>
      <c r="G607" s="14" t="s">
        <v>63</v>
      </c>
      <c r="H607" s="7" t="s">
        <v>224</v>
      </c>
      <c r="I607" s="7" t="s">
        <v>277</v>
      </c>
      <c r="J607" s="7" t="s">
        <v>70</v>
      </c>
      <c r="K607" s="15">
        <v>45383.0</v>
      </c>
      <c r="L607" s="15">
        <v>36655.0</v>
      </c>
      <c r="M607" s="13">
        <v>25078.0</v>
      </c>
      <c r="N607" s="7"/>
      <c r="O607" s="7"/>
      <c r="P607" s="7">
        <v>13.33</v>
      </c>
      <c r="Q607" s="7"/>
      <c r="R607" s="20"/>
      <c r="S607" s="7"/>
      <c r="T607" s="20"/>
      <c r="U607" s="16">
        <f>SUM(Template!$N607:$O607)*Template!$P607+Template!$Q607</f>
        <v>0</v>
      </c>
      <c r="V607" s="17" t="str">
        <f>IF(Template!$M607="CONSELHO","N",IF(Template!$AA607="N","N1",IF(Template!$AA607="N1","N2",IF(Template!$AA607="N2","N3",IF(Template!$AA607="N3","N4",IF(Template!$AA607="N4","N5",IF(Template!$AA607="N5","N6",IF(Template!$AA607="N6","N7",IF(Template!$AA607="N7","N8",IF(Template!$AA607="N8","N9",IF(Template!$AA607="N9","N10","NA")))))))))))</f>
        <v>N4</v>
      </c>
      <c r="W607" s="17">
        <f>COUNTIF(Template!$M$3:$M$619,Template!$D607)</f>
        <v>0</v>
      </c>
      <c r="X607" s="17" t="str">
        <f>IF(Template!$F607="","",SUMIF(Template!$M$3:$M$619,Template!$D607,Template!$AC$3:$AC$619))</f>
        <v/>
      </c>
      <c r="Y607" s="17" t="str">
        <f>IFERROR(VLOOKUP(Template!$M607,Template!$D$3:$G$619,MATCH("EmployeeJobTitle",Template!$D$2:$G$2,0),FALSE),"NA")</f>
        <v>GERENTE DE LOJA</v>
      </c>
      <c r="Z607" s="17" t="str">
        <f>IFERROR(VLOOKUP(Template!$M607,Template!$D$3:$G$619,MATCH("EmployeeGroup",Template!$D$2:$G$2,0),FALSE),"NA")</f>
        <v>GERENTE</v>
      </c>
      <c r="AA607" s="17" t="str">
        <f>IFERROR(VLOOKUP(Template!$M607,Template!$D$3:$V$619,MATCH("Layer",Template!$D$2:$V$2,0),FALSE),"NA")</f>
        <v>N3</v>
      </c>
      <c r="AB607" s="21">
        <f>VLOOKUP(Template!$M607,Template!$D$3:$F$619,MATCH("InternalGrade",Template!$D$2:$F$2,0),FALSE)-Template!$F607</f>
        <v>0</v>
      </c>
      <c r="AC607" s="17">
        <f>IF(Template!$AB607&lt;=1, 0.8,IF(Template!$AB607=2,0.4,IF(Template!$AB607=3,0.2,IF(Template!$AB607=4,0.1,IF(Template!$AB607&gt;=5,0.05,"erro")))))</f>
        <v>0.8</v>
      </c>
      <c r="AD607" s="17" t="b">
        <f>Template!$D607=Template!$M607</f>
        <v>0</v>
      </c>
      <c r="AE607" s="12" t="s">
        <v>58</v>
      </c>
    </row>
    <row r="608" ht="15.75" customHeight="1">
      <c r="A608" s="7" t="s">
        <v>190</v>
      </c>
      <c r="B608" s="7" t="s">
        <v>191</v>
      </c>
      <c r="C608" s="7" t="s">
        <v>278</v>
      </c>
      <c r="D608" s="13">
        <v>24898.0</v>
      </c>
      <c r="E608" s="7" t="s">
        <v>193</v>
      </c>
      <c r="F608" s="13"/>
      <c r="G608" s="14" t="s">
        <v>63</v>
      </c>
      <c r="H608" s="7" t="s">
        <v>64</v>
      </c>
      <c r="I608" s="7" t="s">
        <v>215</v>
      </c>
      <c r="J608" s="7" t="s">
        <v>70</v>
      </c>
      <c r="K608" s="15">
        <v>45352.0</v>
      </c>
      <c r="L608" s="15">
        <v>33627.0</v>
      </c>
      <c r="M608" s="13">
        <v>22248.0</v>
      </c>
      <c r="N608" s="7"/>
      <c r="O608" s="7"/>
      <c r="P608" s="7">
        <v>13.33</v>
      </c>
      <c r="Q608" s="7"/>
      <c r="R608" s="20"/>
      <c r="S608" s="7"/>
      <c r="T608" s="20"/>
      <c r="U608" s="16">
        <f>SUM(Template!$N608:$O608)*Template!$P608+Template!$Q608</f>
        <v>0</v>
      </c>
      <c r="V608" s="17" t="str">
        <f>IF(Template!$M608="CONSELHO","N",IF(Template!$AA608="N","N1",IF(Template!$AA608="N1","N2",IF(Template!$AA608="N2","N3",IF(Template!$AA608="N3","N4",IF(Template!$AA608="N4","N5",IF(Template!$AA608="N5","N6",IF(Template!$AA608="N6","N7",IF(Template!$AA608="N7","N8",IF(Template!$AA608="N8","N9",IF(Template!$AA608="N9","N10","NA")))))))))))</f>
        <v>N4</v>
      </c>
      <c r="W608" s="17">
        <f>COUNTIF(Template!$M$3:$M$619,Template!$D608)</f>
        <v>0</v>
      </c>
      <c r="X608" s="17" t="str">
        <f>IF(Template!$F608="","",SUMIF(Template!$M$3:$M$619,Template!$D608,Template!$AC$3:$AC$619))</f>
        <v/>
      </c>
      <c r="Y608" s="17" t="str">
        <f>IFERROR(VLOOKUP(Template!$M608,Template!$D$3:$G$619,MATCH("EmployeeJobTitle",Template!$D$2:$G$2,0),FALSE),"NA")</f>
        <v>GERENTE DE LOJA</v>
      </c>
      <c r="Z608" s="17" t="str">
        <f>IFERROR(VLOOKUP(Template!$M608,Template!$D$3:$G$619,MATCH("EmployeeGroup",Template!$D$2:$G$2,0),FALSE),"NA")</f>
        <v>GERENTE</v>
      </c>
      <c r="AA608" s="17" t="str">
        <f>IFERROR(VLOOKUP(Template!$M608,Template!$D$3:$V$619,MATCH("Layer",Template!$D$2:$V$2,0),FALSE),"NA")</f>
        <v>N3</v>
      </c>
      <c r="AB608" s="21">
        <f>VLOOKUP(Template!$M608,Template!$D$3:$F$619,MATCH("InternalGrade",Template!$D$2:$F$2,0),FALSE)-Template!$F608</f>
        <v>0</v>
      </c>
      <c r="AC608" s="17">
        <f>IF(Template!$AB608&lt;=1, 0.8,IF(Template!$AB608=2,0.4,IF(Template!$AB608=3,0.2,IF(Template!$AB608=4,0.1,IF(Template!$AB608&gt;=5,0.05,"erro")))))</f>
        <v>0.8</v>
      </c>
      <c r="AD608" s="17" t="b">
        <f>Template!$D608=Template!$M608</f>
        <v>0</v>
      </c>
      <c r="AE608" s="12" t="s">
        <v>58</v>
      </c>
    </row>
    <row r="609" ht="15.75" customHeight="1">
      <c r="A609" s="7" t="s">
        <v>190</v>
      </c>
      <c r="B609" s="7" t="s">
        <v>191</v>
      </c>
      <c r="C609" s="7" t="s">
        <v>278</v>
      </c>
      <c r="D609" s="13">
        <v>25448.0</v>
      </c>
      <c r="E609" s="7" t="s">
        <v>193</v>
      </c>
      <c r="F609" s="13"/>
      <c r="G609" s="14" t="s">
        <v>63</v>
      </c>
      <c r="H609" s="7" t="s">
        <v>64</v>
      </c>
      <c r="I609" s="7" t="s">
        <v>215</v>
      </c>
      <c r="J609" s="7" t="s">
        <v>70</v>
      </c>
      <c r="K609" s="15">
        <v>45579.0</v>
      </c>
      <c r="L609" s="15">
        <v>38371.0</v>
      </c>
      <c r="M609" s="13">
        <v>22248.0</v>
      </c>
      <c r="N609" s="7"/>
      <c r="O609" s="7"/>
      <c r="P609" s="7">
        <v>13.33</v>
      </c>
      <c r="Q609" s="7"/>
      <c r="R609" s="20"/>
      <c r="S609" s="7"/>
      <c r="T609" s="20"/>
      <c r="U609" s="16">
        <f>SUM(Template!$N609:$O609)*Template!$P609+Template!$Q609</f>
        <v>0</v>
      </c>
      <c r="V609" s="17" t="str">
        <f>IF(Template!$M609="CONSELHO","N",IF(Template!$AA609="N","N1",IF(Template!$AA609="N1","N2",IF(Template!$AA609="N2","N3",IF(Template!$AA609="N3","N4",IF(Template!$AA609="N4","N5",IF(Template!$AA609="N5","N6",IF(Template!$AA609="N6","N7",IF(Template!$AA609="N7","N8",IF(Template!$AA609="N8","N9",IF(Template!$AA609="N9","N10","NA")))))))))))</f>
        <v>N4</v>
      </c>
      <c r="W609" s="17">
        <f>COUNTIF(Template!$M$3:$M$619,Template!$D609)</f>
        <v>0</v>
      </c>
      <c r="X609" s="17" t="str">
        <f>IF(Template!$F609="","",SUMIF(Template!$M$3:$M$619,Template!$D609,Template!$AC$3:$AC$619))</f>
        <v/>
      </c>
      <c r="Y609" s="17" t="str">
        <f>IFERROR(VLOOKUP(Template!$M609,Template!$D$3:$G$619,MATCH("EmployeeJobTitle",Template!$D$2:$G$2,0),FALSE),"NA")</f>
        <v>GERENTE DE LOJA</v>
      </c>
      <c r="Z609" s="17" t="str">
        <f>IFERROR(VLOOKUP(Template!$M609,Template!$D$3:$G$619,MATCH("EmployeeGroup",Template!$D$2:$G$2,0),FALSE),"NA")</f>
        <v>GERENTE</v>
      </c>
      <c r="AA609" s="17" t="str">
        <f>IFERROR(VLOOKUP(Template!$M609,Template!$D$3:$V$619,MATCH("Layer",Template!$D$2:$V$2,0),FALSE),"NA")</f>
        <v>N3</v>
      </c>
      <c r="AB609" s="21">
        <f>VLOOKUP(Template!$M609,Template!$D$3:$F$619,MATCH("InternalGrade",Template!$D$2:$F$2,0),FALSE)-Template!$F609</f>
        <v>0</v>
      </c>
      <c r="AC609" s="17">
        <f>IF(Template!$AB609&lt;=1, 0.8,IF(Template!$AB609=2,0.4,IF(Template!$AB609=3,0.2,IF(Template!$AB609=4,0.1,IF(Template!$AB609&gt;=5,0.05,"erro")))))</f>
        <v>0.8</v>
      </c>
      <c r="AD609" s="17" t="b">
        <f>Template!$D609=Template!$M609</f>
        <v>0</v>
      </c>
      <c r="AE609" s="12" t="s">
        <v>58</v>
      </c>
    </row>
    <row r="610" ht="15.75" customHeight="1">
      <c r="A610" s="7" t="s">
        <v>190</v>
      </c>
      <c r="B610" s="7" t="s">
        <v>191</v>
      </c>
      <c r="C610" s="7" t="s">
        <v>278</v>
      </c>
      <c r="D610" s="13">
        <v>24763.0</v>
      </c>
      <c r="E610" s="7" t="s">
        <v>193</v>
      </c>
      <c r="F610" s="13"/>
      <c r="G610" s="14" t="s">
        <v>63</v>
      </c>
      <c r="H610" s="7" t="s">
        <v>64</v>
      </c>
      <c r="I610" s="7" t="s">
        <v>215</v>
      </c>
      <c r="J610" s="7" t="s">
        <v>70</v>
      </c>
      <c r="K610" s="15">
        <v>45267.0</v>
      </c>
      <c r="L610" s="15">
        <v>36202.0</v>
      </c>
      <c r="M610" s="13">
        <v>22248.0</v>
      </c>
      <c r="N610" s="7"/>
      <c r="O610" s="7"/>
      <c r="P610" s="7">
        <v>13.33</v>
      </c>
      <c r="Q610" s="7"/>
      <c r="R610" s="20"/>
      <c r="S610" s="7"/>
      <c r="T610" s="20"/>
      <c r="U610" s="16">
        <f>SUM(Template!$N610:$O610)*Template!$P610+Template!$Q610</f>
        <v>0</v>
      </c>
      <c r="V610" s="17" t="str">
        <f>IF(Template!$M610="CONSELHO","N",IF(Template!$AA610="N","N1",IF(Template!$AA610="N1","N2",IF(Template!$AA610="N2","N3",IF(Template!$AA610="N3","N4",IF(Template!$AA610="N4","N5",IF(Template!$AA610="N5","N6",IF(Template!$AA610="N6","N7",IF(Template!$AA610="N7","N8",IF(Template!$AA610="N8","N9",IF(Template!$AA610="N9","N10","NA")))))))))))</f>
        <v>N4</v>
      </c>
      <c r="W610" s="17">
        <f>COUNTIF(Template!$M$3:$M$619,Template!$D610)</f>
        <v>0</v>
      </c>
      <c r="X610" s="17" t="str">
        <f>IF(Template!$F610="","",SUMIF(Template!$M$3:$M$619,Template!$D610,Template!$AC$3:$AC$619))</f>
        <v/>
      </c>
      <c r="Y610" s="17" t="str">
        <f>IFERROR(VLOOKUP(Template!$M610,Template!$D$3:$G$619,MATCH("EmployeeJobTitle",Template!$D$2:$G$2,0),FALSE),"NA")</f>
        <v>GERENTE DE LOJA</v>
      </c>
      <c r="Z610" s="17" t="str">
        <f>IFERROR(VLOOKUP(Template!$M610,Template!$D$3:$G$619,MATCH("EmployeeGroup",Template!$D$2:$G$2,0),FALSE),"NA")</f>
        <v>GERENTE</v>
      </c>
      <c r="AA610" s="17" t="str">
        <f>IFERROR(VLOOKUP(Template!$M610,Template!$D$3:$V$619,MATCH("Layer",Template!$D$2:$V$2,0),FALSE),"NA")</f>
        <v>N3</v>
      </c>
      <c r="AB610" s="21">
        <f>VLOOKUP(Template!$M610,Template!$D$3:$F$619,MATCH("InternalGrade",Template!$D$2:$F$2,0),FALSE)-Template!$F610</f>
        <v>0</v>
      </c>
      <c r="AC610" s="17">
        <f>IF(Template!$AB610&lt;=1, 0.8,IF(Template!$AB610=2,0.4,IF(Template!$AB610=3,0.2,IF(Template!$AB610=4,0.1,IF(Template!$AB610&gt;=5,0.05,"erro")))))</f>
        <v>0.8</v>
      </c>
      <c r="AD610" s="17" t="b">
        <f>Template!$D610=Template!$M610</f>
        <v>0</v>
      </c>
      <c r="AE610" s="12" t="s">
        <v>58</v>
      </c>
    </row>
    <row r="611" ht="15.75" customHeight="1">
      <c r="A611" s="7" t="s">
        <v>190</v>
      </c>
      <c r="B611" s="7" t="s">
        <v>191</v>
      </c>
      <c r="C611" s="7" t="s">
        <v>278</v>
      </c>
      <c r="D611" s="13">
        <v>22248.0</v>
      </c>
      <c r="E611" s="7" t="s">
        <v>199</v>
      </c>
      <c r="F611" s="13"/>
      <c r="G611" s="22" t="s">
        <v>200</v>
      </c>
      <c r="H611" s="7" t="s">
        <v>64</v>
      </c>
      <c r="I611" s="7" t="s">
        <v>215</v>
      </c>
      <c r="J611" s="7" t="s">
        <v>70</v>
      </c>
      <c r="K611" s="15">
        <v>44854.0</v>
      </c>
      <c r="L611" s="15">
        <v>32747.0</v>
      </c>
      <c r="M611" s="13">
        <v>23256.0</v>
      </c>
      <c r="N611" s="7">
        <v>4603.0</v>
      </c>
      <c r="O611" s="7"/>
      <c r="P611" s="7">
        <v>13.33</v>
      </c>
      <c r="Q611" s="7"/>
      <c r="R611" s="20"/>
      <c r="S611" s="7"/>
      <c r="T611" s="20"/>
      <c r="U611" s="16">
        <f>SUM(Template!$N611:$O611)*Template!$P611+Template!$Q611</f>
        <v>61357.99</v>
      </c>
      <c r="V611" s="17" t="str">
        <f>IF(Template!$M611="CONSELHO","N",IF(Template!$AA611="N","N1",IF(Template!$AA611="N1","N2",IF(Template!$AA611="N2","N3",IF(Template!$AA611="N3","N4",IF(Template!$AA611="N4","N5",IF(Template!$AA611="N5","N6",IF(Template!$AA611="N6","N7",IF(Template!$AA611="N7","N8",IF(Template!$AA611="N8","N9",IF(Template!$AA611="N9","N10","NA")))))))))))</f>
        <v>N3</v>
      </c>
      <c r="W611" s="17">
        <f>COUNTIF(Template!$M$3:$M$619,Template!$D611)</f>
        <v>4</v>
      </c>
      <c r="X611" s="17" t="str">
        <f>IF(Template!$F611="","",SUMIF(Template!$M$3:$M$619,Template!$D611,Template!$AC$3:$AC$619))</f>
        <v/>
      </c>
      <c r="Y611" s="17" t="str">
        <f>IFERROR(VLOOKUP(Template!$M611,Template!$D$3:$G$619,MATCH("EmployeeJobTitle",Template!$D$2:$G$2,0),FALSE),"NA")</f>
        <v>GERENTE COMERCIAL</v>
      </c>
      <c r="Z611" s="17" t="str">
        <f>IFERROR(VLOOKUP(Template!$M611,Template!$D$3:$G$619,MATCH("EmployeeGroup",Template!$D$2:$G$2,0),FALSE),"NA")</f>
        <v>Coordenador</v>
      </c>
      <c r="AA611" s="17" t="str">
        <f>IFERROR(VLOOKUP(Template!$M611,Template!$D$3:$V$619,MATCH("Layer",Template!$D$2:$V$2,0),FALSE),"NA")</f>
        <v>N2</v>
      </c>
      <c r="AB611" s="21">
        <f>VLOOKUP(Template!$M611,Template!$D$3:$F$619,MATCH("InternalGrade",Template!$D$2:$F$2,0),FALSE)-Template!$F611</f>
        <v>19</v>
      </c>
      <c r="AC611" s="17">
        <f>IF(Template!$AB611&lt;=1, 0.8,IF(Template!$AB611=2,0.4,IF(Template!$AB611=3,0.2,IF(Template!$AB611=4,0.1,IF(Template!$AB611&gt;=5,0.05,"erro")))))</f>
        <v>0.05</v>
      </c>
      <c r="AD611" s="17" t="b">
        <f>Template!$D611=Template!$M611</f>
        <v>0</v>
      </c>
      <c r="AE611" s="12" t="s">
        <v>58</v>
      </c>
    </row>
    <row r="612" ht="15.75" customHeight="1">
      <c r="A612" s="7" t="s">
        <v>190</v>
      </c>
      <c r="B612" s="7" t="s">
        <v>191</v>
      </c>
      <c r="C612" s="7" t="s">
        <v>278</v>
      </c>
      <c r="D612" s="13">
        <v>25015.0</v>
      </c>
      <c r="E612" s="7" t="s">
        <v>196</v>
      </c>
      <c r="F612" s="13"/>
      <c r="G612" s="14" t="s">
        <v>63</v>
      </c>
      <c r="H612" s="7" t="s">
        <v>64</v>
      </c>
      <c r="I612" s="7" t="s">
        <v>215</v>
      </c>
      <c r="J612" s="7" t="s">
        <v>70</v>
      </c>
      <c r="K612" s="15">
        <v>45404.0</v>
      </c>
      <c r="L612" s="15">
        <v>38504.0</v>
      </c>
      <c r="M612" s="13">
        <v>22248.0</v>
      </c>
      <c r="N612" s="7">
        <v>1888.0</v>
      </c>
      <c r="O612" s="7"/>
      <c r="P612" s="7">
        <v>13.33</v>
      </c>
      <c r="Q612" s="7"/>
      <c r="R612" s="20"/>
      <c r="S612" s="7"/>
      <c r="T612" s="20"/>
      <c r="U612" s="16">
        <f>SUM(Template!$N612:$O612)*Template!$P612+Template!$Q612</f>
        <v>25167.04</v>
      </c>
      <c r="V612" s="17" t="str">
        <f>IF(Template!$M612="CONSELHO","N",IF(Template!$AA612="N","N1",IF(Template!$AA612="N1","N2",IF(Template!$AA612="N2","N3",IF(Template!$AA612="N3","N4",IF(Template!$AA612="N4","N5",IF(Template!$AA612="N5","N6",IF(Template!$AA612="N6","N7",IF(Template!$AA612="N7","N8",IF(Template!$AA612="N8","N9",IF(Template!$AA612="N9","N10","NA")))))))))))</f>
        <v>N4</v>
      </c>
      <c r="W612" s="17">
        <f>COUNTIF(Template!$M$3:$M$619,Template!$D612)</f>
        <v>0</v>
      </c>
      <c r="X612" s="17" t="str">
        <f>IF(Template!$F612="","",SUMIF(Template!$M$3:$M$619,Template!$D612,Template!$AC$3:$AC$619))</f>
        <v/>
      </c>
      <c r="Y612" s="17" t="str">
        <f>IFERROR(VLOOKUP(Template!$M612,Template!$D$3:$G$619,MATCH("EmployeeJobTitle",Template!$D$2:$G$2,0),FALSE),"NA")</f>
        <v>GERENTE DE LOJA</v>
      </c>
      <c r="Z612" s="17" t="str">
        <f>IFERROR(VLOOKUP(Template!$M612,Template!$D$3:$G$619,MATCH("EmployeeGroup",Template!$D$2:$G$2,0),FALSE),"NA")</f>
        <v>GERENTE</v>
      </c>
      <c r="AA612" s="17" t="str">
        <f>IFERROR(VLOOKUP(Template!$M612,Template!$D$3:$V$619,MATCH("Layer",Template!$D$2:$V$2,0),FALSE),"NA")</f>
        <v>N3</v>
      </c>
      <c r="AB612" s="21">
        <f>VLOOKUP(Template!$M612,Template!$D$3:$F$619,MATCH("InternalGrade",Template!$D$2:$F$2,0),FALSE)-Template!$F612</f>
        <v>0</v>
      </c>
      <c r="AC612" s="17">
        <f>IF(Template!$AB612&lt;=1, 0.8,IF(Template!$AB612=2,0.4,IF(Template!$AB612=3,0.2,IF(Template!$AB612=4,0.1,IF(Template!$AB612&gt;=5,0.05,"erro")))))</f>
        <v>0.8</v>
      </c>
      <c r="AD612" s="17" t="b">
        <f>Template!$D612=Template!$M612</f>
        <v>0</v>
      </c>
      <c r="AE612" s="12" t="s">
        <v>58</v>
      </c>
    </row>
    <row r="613" ht="15.75" customHeight="1">
      <c r="A613" s="7" t="s">
        <v>190</v>
      </c>
      <c r="B613" s="7" t="s">
        <v>191</v>
      </c>
      <c r="C613" s="7" t="s">
        <v>279</v>
      </c>
      <c r="D613" s="13">
        <v>24976.0</v>
      </c>
      <c r="E613" s="7" t="s">
        <v>193</v>
      </c>
      <c r="F613" s="13"/>
      <c r="G613" s="14" t="s">
        <v>63</v>
      </c>
      <c r="H613" s="7" t="s">
        <v>64</v>
      </c>
      <c r="I613" s="7" t="s">
        <v>215</v>
      </c>
      <c r="J613" s="7" t="s">
        <v>70</v>
      </c>
      <c r="K613" s="15">
        <v>45397.0</v>
      </c>
      <c r="L613" s="15">
        <v>33403.0</v>
      </c>
      <c r="M613" s="13">
        <v>24907.0</v>
      </c>
      <c r="N613" s="7"/>
      <c r="O613" s="7"/>
      <c r="P613" s="7">
        <v>13.33</v>
      </c>
      <c r="Q613" s="7"/>
      <c r="R613" s="20"/>
      <c r="S613" s="7"/>
      <c r="T613" s="20"/>
      <c r="U613" s="16">
        <f>SUM(Template!$N613:$O613)*Template!$P613+Template!$Q613</f>
        <v>0</v>
      </c>
      <c r="V613" s="17" t="str">
        <f>IF(Template!$M613="CONSELHO","N",IF(Template!$AA613="N","N1",IF(Template!$AA613="N1","N2",IF(Template!$AA613="N2","N3",IF(Template!$AA613="N3","N4",IF(Template!$AA613="N4","N5",IF(Template!$AA613="N5","N6",IF(Template!$AA613="N6","N7",IF(Template!$AA613="N7","N8",IF(Template!$AA613="N8","N9",IF(Template!$AA613="N9","N10","NA")))))))))))</f>
        <v>N4</v>
      </c>
      <c r="W613" s="17">
        <f>COUNTIF(Template!$M$3:$M$619,Template!$D613)</f>
        <v>0</v>
      </c>
      <c r="X613" s="17" t="str">
        <f>IF(Template!$F613="","",SUMIF(Template!$M$3:$M$619,Template!$D613,Template!$AC$3:$AC$619))</f>
        <v/>
      </c>
      <c r="Y613" s="17" t="str">
        <f>IFERROR(VLOOKUP(Template!$M613,Template!$D$3:$G$619,MATCH("EmployeeJobTitle",Template!$D$2:$G$2,0),FALSE),"NA")</f>
        <v>GERENTE DE LOJA</v>
      </c>
      <c r="Z613" s="17" t="str">
        <f>IFERROR(VLOOKUP(Template!$M613,Template!$D$3:$G$619,MATCH("EmployeeGroup",Template!$D$2:$G$2,0),FALSE),"NA")</f>
        <v>GERENTE</v>
      </c>
      <c r="AA613" s="17" t="str">
        <f>IFERROR(VLOOKUP(Template!$M613,Template!$D$3:$V$619,MATCH("Layer",Template!$D$2:$V$2,0),FALSE),"NA")</f>
        <v>N3</v>
      </c>
      <c r="AB613" s="21">
        <f>VLOOKUP(Template!$M613,Template!$D$3:$F$619,MATCH("InternalGrade",Template!$D$2:$F$2,0),FALSE)-Template!$F613</f>
        <v>0</v>
      </c>
      <c r="AC613" s="17">
        <f>IF(Template!$AB613&lt;=1, 0.8,IF(Template!$AB613=2,0.4,IF(Template!$AB613=3,0.2,IF(Template!$AB613=4,0.1,IF(Template!$AB613&gt;=5,0.05,"erro")))))</f>
        <v>0.8</v>
      </c>
      <c r="AD613" s="17" t="b">
        <f>Template!$D613=Template!$M613</f>
        <v>0</v>
      </c>
      <c r="AE613" s="12" t="s">
        <v>58</v>
      </c>
    </row>
    <row r="614" ht="15.75" customHeight="1">
      <c r="A614" s="7" t="s">
        <v>190</v>
      </c>
      <c r="B614" s="7" t="s">
        <v>191</v>
      </c>
      <c r="C614" s="7" t="s">
        <v>279</v>
      </c>
      <c r="D614" s="13">
        <v>25002.0</v>
      </c>
      <c r="E614" s="7" t="s">
        <v>193</v>
      </c>
      <c r="F614" s="13"/>
      <c r="G614" s="14" t="s">
        <v>63</v>
      </c>
      <c r="H614" s="7" t="s">
        <v>64</v>
      </c>
      <c r="I614" s="7" t="s">
        <v>215</v>
      </c>
      <c r="J614" s="7" t="s">
        <v>70</v>
      </c>
      <c r="K614" s="15">
        <v>45397.0</v>
      </c>
      <c r="L614" s="15">
        <v>32685.0</v>
      </c>
      <c r="M614" s="13">
        <v>24907.0</v>
      </c>
      <c r="N614" s="7"/>
      <c r="O614" s="7"/>
      <c r="P614" s="7">
        <v>13.33</v>
      </c>
      <c r="Q614" s="7"/>
      <c r="R614" s="20"/>
      <c r="S614" s="7"/>
      <c r="T614" s="20"/>
      <c r="U614" s="16">
        <f>SUM(Template!$N614:$O614)*Template!$P614+Template!$Q614</f>
        <v>0</v>
      </c>
      <c r="V614" s="17" t="str">
        <f>IF(Template!$M614="CONSELHO","N",IF(Template!$AA614="N","N1",IF(Template!$AA614="N1","N2",IF(Template!$AA614="N2","N3",IF(Template!$AA614="N3","N4",IF(Template!$AA614="N4","N5",IF(Template!$AA614="N5","N6",IF(Template!$AA614="N6","N7",IF(Template!$AA614="N7","N8",IF(Template!$AA614="N8","N9",IF(Template!$AA614="N9","N10","NA")))))))))))</f>
        <v>N4</v>
      </c>
      <c r="W614" s="17">
        <f>COUNTIF(Template!$M$3:$M$619,Template!$D614)</f>
        <v>0</v>
      </c>
      <c r="X614" s="17" t="str">
        <f>IF(Template!$F614="","",SUMIF(Template!$M$3:$M$619,Template!$D614,Template!$AC$3:$AC$619))</f>
        <v/>
      </c>
      <c r="Y614" s="17" t="str">
        <f>IFERROR(VLOOKUP(Template!$M614,Template!$D$3:$G$619,MATCH("EmployeeJobTitle",Template!$D$2:$G$2,0),FALSE),"NA")</f>
        <v>GERENTE DE LOJA</v>
      </c>
      <c r="Z614" s="17" t="str">
        <f>IFERROR(VLOOKUP(Template!$M614,Template!$D$3:$G$619,MATCH("EmployeeGroup",Template!$D$2:$G$2,0),FALSE),"NA")</f>
        <v>GERENTE</v>
      </c>
      <c r="AA614" s="17" t="str">
        <f>IFERROR(VLOOKUP(Template!$M614,Template!$D$3:$V$619,MATCH("Layer",Template!$D$2:$V$2,0),FALSE),"NA")</f>
        <v>N3</v>
      </c>
      <c r="AB614" s="21">
        <f>VLOOKUP(Template!$M614,Template!$D$3:$F$619,MATCH("InternalGrade",Template!$D$2:$F$2,0),FALSE)-Template!$F614</f>
        <v>0</v>
      </c>
      <c r="AC614" s="17">
        <f>IF(Template!$AB614&lt;=1, 0.8,IF(Template!$AB614=2,0.4,IF(Template!$AB614=3,0.2,IF(Template!$AB614=4,0.1,IF(Template!$AB614&gt;=5,0.05,"erro")))))</f>
        <v>0.8</v>
      </c>
      <c r="AD614" s="17" t="b">
        <f>Template!$D614=Template!$M614</f>
        <v>0</v>
      </c>
      <c r="AE614" s="12" t="s">
        <v>58</v>
      </c>
    </row>
    <row r="615" ht="15.75" customHeight="1">
      <c r="A615" s="7" t="s">
        <v>190</v>
      </c>
      <c r="B615" s="7" t="s">
        <v>191</v>
      </c>
      <c r="C615" s="7" t="s">
        <v>279</v>
      </c>
      <c r="D615" s="13">
        <v>25118.0</v>
      </c>
      <c r="E615" s="7" t="s">
        <v>196</v>
      </c>
      <c r="F615" s="13"/>
      <c r="G615" s="14" t="s">
        <v>63</v>
      </c>
      <c r="H615" s="7" t="s">
        <v>64</v>
      </c>
      <c r="I615" s="7" t="s">
        <v>215</v>
      </c>
      <c r="J615" s="7" t="s">
        <v>70</v>
      </c>
      <c r="K615" s="15">
        <v>45453.0</v>
      </c>
      <c r="L615" s="15">
        <v>35609.0</v>
      </c>
      <c r="M615" s="13">
        <v>24907.0</v>
      </c>
      <c r="N615" s="7">
        <v>1888.0</v>
      </c>
      <c r="O615" s="7"/>
      <c r="P615" s="7">
        <v>13.33</v>
      </c>
      <c r="Q615" s="7"/>
      <c r="R615" s="20"/>
      <c r="S615" s="7"/>
      <c r="T615" s="20"/>
      <c r="U615" s="16">
        <f>SUM(Template!$N615:$O615)*Template!$P615+Template!$Q615</f>
        <v>25167.04</v>
      </c>
      <c r="V615" s="17" t="str">
        <f>IF(Template!$M615="CONSELHO","N",IF(Template!$AA615="N","N1",IF(Template!$AA615="N1","N2",IF(Template!$AA615="N2","N3",IF(Template!$AA615="N3","N4",IF(Template!$AA615="N4","N5",IF(Template!$AA615="N5","N6",IF(Template!$AA615="N6","N7",IF(Template!$AA615="N7","N8",IF(Template!$AA615="N8","N9",IF(Template!$AA615="N9","N10","NA")))))))))))</f>
        <v>N4</v>
      </c>
      <c r="W615" s="17">
        <f>COUNTIF(Template!$M$3:$M$619,Template!$D615)</f>
        <v>0</v>
      </c>
      <c r="X615" s="17" t="str">
        <f>IF(Template!$F615="","",SUMIF(Template!$M$3:$M$619,Template!$D615,Template!$AC$3:$AC$619))</f>
        <v/>
      </c>
      <c r="Y615" s="17" t="str">
        <f>IFERROR(VLOOKUP(Template!$M615,Template!$D$3:$G$619,MATCH("EmployeeJobTitle",Template!$D$2:$G$2,0),FALSE),"NA")</f>
        <v>GERENTE DE LOJA</v>
      </c>
      <c r="Z615" s="17" t="str">
        <f>IFERROR(VLOOKUP(Template!$M615,Template!$D$3:$G$619,MATCH("EmployeeGroup",Template!$D$2:$G$2,0),FALSE),"NA")</f>
        <v>GERENTE</v>
      </c>
      <c r="AA615" s="17" t="str">
        <f>IFERROR(VLOOKUP(Template!$M615,Template!$D$3:$V$619,MATCH("Layer",Template!$D$2:$V$2,0),FALSE),"NA")</f>
        <v>N3</v>
      </c>
      <c r="AB615" s="21">
        <f>VLOOKUP(Template!$M615,Template!$D$3:$F$619,MATCH("InternalGrade",Template!$D$2:$F$2,0),FALSE)-Template!$F615</f>
        <v>0</v>
      </c>
      <c r="AC615" s="17">
        <f>IF(Template!$AB615&lt;=1, 0.8,IF(Template!$AB615=2,0.4,IF(Template!$AB615=3,0.2,IF(Template!$AB615=4,0.1,IF(Template!$AB615&gt;=5,0.05,"erro")))))</f>
        <v>0.8</v>
      </c>
      <c r="AD615" s="17" t="b">
        <f>Template!$D615=Template!$M615</f>
        <v>0</v>
      </c>
      <c r="AE615" s="12" t="s">
        <v>58</v>
      </c>
    </row>
    <row r="616" ht="15.75" customHeight="1">
      <c r="A616" s="7" t="s">
        <v>190</v>
      </c>
      <c r="B616" s="7" t="s">
        <v>191</v>
      </c>
      <c r="C616" s="7" t="s">
        <v>279</v>
      </c>
      <c r="D616" s="13">
        <v>24907.0</v>
      </c>
      <c r="E616" s="7" t="s">
        <v>199</v>
      </c>
      <c r="F616" s="13"/>
      <c r="G616" s="22" t="s">
        <v>200</v>
      </c>
      <c r="H616" s="7" t="s">
        <v>64</v>
      </c>
      <c r="I616" s="7" t="s">
        <v>215</v>
      </c>
      <c r="J616" s="7" t="s">
        <v>70</v>
      </c>
      <c r="K616" s="15">
        <v>45355.0</v>
      </c>
      <c r="L616" s="15">
        <v>30216.0</v>
      </c>
      <c r="M616" s="13">
        <v>23256.0</v>
      </c>
      <c r="N616" s="7">
        <v>4519.0</v>
      </c>
      <c r="O616" s="7"/>
      <c r="P616" s="7">
        <v>13.33</v>
      </c>
      <c r="Q616" s="7"/>
      <c r="R616" s="20"/>
      <c r="S616" s="7"/>
      <c r="T616" s="20"/>
      <c r="U616" s="16">
        <f>SUM(Template!$N616:$O616)*Template!$P616+Template!$Q616</f>
        <v>60238.27</v>
      </c>
      <c r="V616" s="17" t="str">
        <f>IF(Template!$M616="CONSELHO","N",IF(Template!$AA616="N","N1",IF(Template!$AA616="N1","N2",IF(Template!$AA616="N2","N3",IF(Template!$AA616="N3","N4",IF(Template!$AA616="N4","N5",IF(Template!$AA616="N5","N6",IF(Template!$AA616="N6","N7",IF(Template!$AA616="N7","N8",IF(Template!$AA616="N8","N9",IF(Template!$AA616="N9","N10","NA")))))))))))</f>
        <v>N3</v>
      </c>
      <c r="W616" s="17">
        <f>COUNTIF(Template!$M$3:$M$619,Template!$D616)</f>
        <v>6</v>
      </c>
      <c r="X616" s="17" t="str">
        <f>IF(Template!$F616="","",SUMIF(Template!$M$3:$M$619,Template!$D616,Template!$AC$3:$AC$619))</f>
        <v/>
      </c>
      <c r="Y616" s="17" t="str">
        <f>IFERROR(VLOOKUP(Template!$M616,Template!$D$3:$G$619,MATCH("EmployeeJobTitle",Template!$D$2:$G$2,0),FALSE),"NA")</f>
        <v>GERENTE COMERCIAL</v>
      </c>
      <c r="Z616" s="17" t="str">
        <f>IFERROR(VLOOKUP(Template!$M616,Template!$D$3:$G$619,MATCH("EmployeeGroup",Template!$D$2:$G$2,0),FALSE),"NA")</f>
        <v>Coordenador</v>
      </c>
      <c r="AA616" s="17" t="str">
        <f>IFERROR(VLOOKUP(Template!$M616,Template!$D$3:$V$619,MATCH("Layer",Template!$D$2:$V$2,0),FALSE),"NA")</f>
        <v>N2</v>
      </c>
      <c r="AB616" s="21">
        <f>VLOOKUP(Template!$M616,Template!$D$3:$F$619,MATCH("InternalGrade",Template!$D$2:$F$2,0),FALSE)-Template!$F616</f>
        <v>19</v>
      </c>
      <c r="AC616" s="17">
        <f>IF(Template!$AB616&lt;=1, 0.8,IF(Template!$AB616=2,0.4,IF(Template!$AB616=3,0.2,IF(Template!$AB616=4,0.1,IF(Template!$AB616&gt;=5,0.05,"erro")))))</f>
        <v>0.05</v>
      </c>
      <c r="AD616" s="17" t="b">
        <f>Template!$D616=Template!$M616</f>
        <v>0</v>
      </c>
      <c r="AE616" s="12" t="s">
        <v>58</v>
      </c>
    </row>
    <row r="617" ht="15.75" customHeight="1">
      <c r="A617" s="7" t="s">
        <v>190</v>
      </c>
      <c r="B617" s="7" t="s">
        <v>191</v>
      </c>
      <c r="C617" s="7" t="s">
        <v>279</v>
      </c>
      <c r="D617" s="13">
        <v>25427.0</v>
      </c>
      <c r="E617" s="7" t="s">
        <v>193</v>
      </c>
      <c r="F617" s="13"/>
      <c r="G617" s="14" t="s">
        <v>63</v>
      </c>
      <c r="H617" s="7" t="s">
        <v>64</v>
      </c>
      <c r="I617" s="7" t="s">
        <v>215</v>
      </c>
      <c r="J617" s="7" t="s">
        <v>70</v>
      </c>
      <c r="K617" s="15">
        <v>45566.0</v>
      </c>
      <c r="L617" s="15">
        <v>36871.0</v>
      </c>
      <c r="M617" s="13">
        <v>24907.0</v>
      </c>
      <c r="N617" s="7"/>
      <c r="O617" s="7"/>
      <c r="P617" s="7">
        <v>13.33</v>
      </c>
      <c r="Q617" s="7"/>
      <c r="R617" s="20"/>
      <c r="S617" s="7"/>
      <c r="T617" s="20"/>
      <c r="U617" s="16">
        <f>SUM(Template!$N617:$O617)*Template!$P617+Template!$Q617</f>
        <v>0</v>
      </c>
      <c r="V617" s="17" t="str">
        <f>IF(Template!$M617="CONSELHO","N",IF(Template!$AA617="N","N1",IF(Template!$AA617="N1","N2",IF(Template!$AA617="N2","N3",IF(Template!$AA617="N3","N4",IF(Template!$AA617="N4","N5",IF(Template!$AA617="N5","N6",IF(Template!$AA617="N6","N7",IF(Template!$AA617="N7","N8",IF(Template!$AA617="N8","N9",IF(Template!$AA617="N9","N10","NA")))))))))))</f>
        <v>N4</v>
      </c>
      <c r="W617" s="17">
        <f>COUNTIF(Template!$M$3:$M$619,Template!$D617)</f>
        <v>0</v>
      </c>
      <c r="X617" s="17" t="str">
        <f>IF(Template!$F617="","",SUMIF(Template!$M$3:$M$619,Template!$D617,Template!$AC$3:$AC$619))</f>
        <v/>
      </c>
      <c r="Y617" s="17" t="str">
        <f>IFERROR(VLOOKUP(Template!$M617,Template!$D$3:$G$619,MATCH("EmployeeJobTitle",Template!$D$2:$G$2,0),FALSE),"NA")</f>
        <v>GERENTE DE LOJA</v>
      </c>
      <c r="Z617" s="17" t="str">
        <f>IFERROR(VLOOKUP(Template!$M617,Template!$D$3:$G$619,MATCH("EmployeeGroup",Template!$D$2:$G$2,0),FALSE),"NA")</f>
        <v>GERENTE</v>
      </c>
      <c r="AA617" s="17" t="str">
        <f>IFERROR(VLOOKUP(Template!$M617,Template!$D$3:$V$619,MATCH("Layer",Template!$D$2:$V$2,0),FALSE),"NA")</f>
        <v>N3</v>
      </c>
      <c r="AB617" s="21">
        <f>VLOOKUP(Template!$M617,Template!$D$3:$F$619,MATCH("InternalGrade",Template!$D$2:$F$2,0),FALSE)-Template!$F617</f>
        <v>0</v>
      </c>
      <c r="AC617" s="17">
        <f>IF(Template!$AB617&lt;=1, 0.8,IF(Template!$AB617=2,0.4,IF(Template!$AB617=3,0.2,IF(Template!$AB617=4,0.1,IF(Template!$AB617&gt;=5,0.05,"erro")))))</f>
        <v>0.8</v>
      </c>
      <c r="AD617" s="17" t="b">
        <f>Template!$D617=Template!$M617</f>
        <v>0</v>
      </c>
      <c r="AE617" s="12" t="s">
        <v>58</v>
      </c>
    </row>
    <row r="618" ht="15.75" customHeight="1">
      <c r="A618" s="7" t="s">
        <v>190</v>
      </c>
      <c r="B618" s="7" t="s">
        <v>191</v>
      </c>
      <c r="C618" s="7" t="s">
        <v>279</v>
      </c>
      <c r="D618" s="13">
        <v>25363.0</v>
      </c>
      <c r="E618" s="7" t="s">
        <v>196</v>
      </c>
      <c r="F618" s="13"/>
      <c r="G618" s="14" t="s">
        <v>63</v>
      </c>
      <c r="H618" s="7" t="s">
        <v>64</v>
      </c>
      <c r="I618" s="7" t="s">
        <v>215</v>
      </c>
      <c r="J618" s="7" t="s">
        <v>70</v>
      </c>
      <c r="K618" s="15">
        <v>45544.0</v>
      </c>
      <c r="L618" s="15">
        <v>34757.0</v>
      </c>
      <c r="M618" s="13">
        <v>24907.0</v>
      </c>
      <c r="N618" s="7">
        <v>1888.0</v>
      </c>
      <c r="O618" s="7"/>
      <c r="P618" s="7">
        <v>13.33</v>
      </c>
      <c r="Q618" s="7"/>
      <c r="R618" s="20"/>
      <c r="S618" s="7"/>
      <c r="T618" s="20"/>
      <c r="U618" s="16">
        <f>SUM(Template!$N618:$O618)*Template!$P618+Template!$Q618</f>
        <v>25167.04</v>
      </c>
      <c r="V618" s="17" t="str">
        <f>IF(Template!$M618="CONSELHO","N",IF(Template!$AA618="N","N1",IF(Template!$AA618="N1","N2",IF(Template!$AA618="N2","N3",IF(Template!$AA618="N3","N4",IF(Template!$AA618="N4","N5",IF(Template!$AA618="N5","N6",IF(Template!$AA618="N6","N7",IF(Template!$AA618="N7","N8",IF(Template!$AA618="N8","N9",IF(Template!$AA618="N9","N10","NA")))))))))))</f>
        <v>N4</v>
      </c>
      <c r="W618" s="17">
        <f>COUNTIF(Template!$M$3:$M$619,Template!$D618)</f>
        <v>0</v>
      </c>
      <c r="X618" s="17" t="str">
        <f>IF(Template!$F618="","",SUMIF(Template!$M$3:$M$619,Template!$D618,Template!$AC$3:$AC$619))</f>
        <v/>
      </c>
      <c r="Y618" s="17" t="str">
        <f>IFERROR(VLOOKUP(Template!$M618,Template!$D$3:$G$619,MATCH("EmployeeJobTitle",Template!$D$2:$G$2,0),FALSE),"NA")</f>
        <v>GERENTE DE LOJA</v>
      </c>
      <c r="Z618" s="17" t="str">
        <f>IFERROR(VLOOKUP(Template!$M618,Template!$D$3:$G$619,MATCH("EmployeeGroup",Template!$D$2:$G$2,0),FALSE),"NA")</f>
        <v>GERENTE</v>
      </c>
      <c r="AA618" s="17" t="str">
        <f>IFERROR(VLOOKUP(Template!$M618,Template!$D$3:$V$619,MATCH("Layer",Template!$D$2:$V$2,0),FALSE),"NA")</f>
        <v>N3</v>
      </c>
      <c r="AB618" s="21">
        <f>VLOOKUP(Template!$M618,Template!$D$3:$F$619,MATCH("InternalGrade",Template!$D$2:$F$2,0),FALSE)-Template!$F618</f>
        <v>0</v>
      </c>
      <c r="AC618" s="17">
        <f>IF(Template!$AB618&lt;=1, 0.8,IF(Template!$AB618=2,0.4,IF(Template!$AB618=3,0.2,IF(Template!$AB618=4,0.1,IF(Template!$AB618&gt;=5,0.05,"erro")))))</f>
        <v>0.8</v>
      </c>
      <c r="AD618" s="17" t="b">
        <f>Template!$D618=Template!$M618</f>
        <v>0</v>
      </c>
      <c r="AE618" s="12" t="s">
        <v>58</v>
      </c>
    </row>
    <row r="619" ht="15.75" customHeight="1">
      <c r="A619" s="7" t="s">
        <v>190</v>
      </c>
      <c r="B619" s="7" t="s">
        <v>191</v>
      </c>
      <c r="C619" s="7" t="s">
        <v>279</v>
      </c>
      <c r="D619" s="13">
        <v>25219.0</v>
      </c>
      <c r="E619" s="7" t="s">
        <v>193</v>
      </c>
      <c r="F619" s="13"/>
      <c r="G619" s="14" t="s">
        <v>63</v>
      </c>
      <c r="H619" s="7" t="s">
        <v>64</v>
      </c>
      <c r="I619" s="7" t="s">
        <v>215</v>
      </c>
      <c r="J619" s="7" t="s">
        <v>70</v>
      </c>
      <c r="K619" s="15">
        <v>45495.0</v>
      </c>
      <c r="L619" s="15">
        <v>34716.0</v>
      </c>
      <c r="M619" s="13">
        <v>24907.0</v>
      </c>
      <c r="N619" s="7"/>
      <c r="O619" s="7"/>
      <c r="P619" s="7">
        <v>13.33</v>
      </c>
      <c r="Q619" s="7"/>
      <c r="R619" s="20"/>
      <c r="S619" s="7"/>
      <c r="T619" s="20"/>
      <c r="U619" s="16">
        <f>SUM(Template!$N619:$O619)*Template!$P619+Template!$Q619</f>
        <v>0</v>
      </c>
      <c r="V619" s="17" t="str">
        <f>IF(Template!$M619="CONSELHO","N",IF(Template!$AA619="N","N1",IF(Template!$AA619="N1","N2",IF(Template!$AA619="N2","N3",IF(Template!$AA619="N3","N4",IF(Template!$AA619="N4","N5",IF(Template!$AA619="N5","N6",IF(Template!$AA619="N6","N7",IF(Template!$AA619="N7","N8",IF(Template!$AA619="N8","N9",IF(Template!$AA619="N9","N10","NA")))))))))))</f>
        <v>N4</v>
      </c>
      <c r="W619" s="17">
        <f>COUNTIF(Template!$M$3:$M$619,Template!$D619)</f>
        <v>0</v>
      </c>
      <c r="X619" s="17" t="str">
        <f>IF(Template!$F619="","",SUMIF(Template!$M$3:$M$619,Template!$D619,Template!$AC$3:$AC$619))</f>
        <v/>
      </c>
      <c r="Y619" s="17" t="str">
        <f>IFERROR(VLOOKUP(Template!$M619,Template!$D$3:$G$619,MATCH("EmployeeJobTitle",Template!$D$2:$G$2,0),FALSE),"NA")</f>
        <v>GERENTE DE LOJA</v>
      </c>
      <c r="Z619" s="17" t="str">
        <f>IFERROR(VLOOKUP(Template!$M619,Template!$D$3:$G$619,MATCH("EmployeeGroup",Template!$D$2:$G$2,0),FALSE),"NA")</f>
        <v>GERENTE</v>
      </c>
      <c r="AA619" s="17" t="str">
        <f>IFERROR(VLOOKUP(Template!$M619,Template!$D$3:$V$619,MATCH("Layer",Template!$D$2:$V$2,0),FALSE),"NA")</f>
        <v>N3</v>
      </c>
      <c r="AB619" s="21">
        <f>VLOOKUP(Template!$M619,Template!$D$3:$F$619,MATCH("InternalGrade",Template!$D$2:$F$2,0),FALSE)-Template!$F619</f>
        <v>0</v>
      </c>
      <c r="AC619" s="17">
        <f>IF(Template!$AB619&lt;=1, 0.8,IF(Template!$AB619=2,0.4,IF(Template!$AB619=3,0.2,IF(Template!$AB619=4,0.1,IF(Template!$AB619&gt;=5,0.05,"erro")))))</f>
        <v>0.8</v>
      </c>
      <c r="AD619" s="17" t="b">
        <f>Template!$D619=Template!$M619</f>
        <v>0</v>
      </c>
      <c r="AE619" s="12" t="s">
        <v>58</v>
      </c>
    </row>
    <row r="620" ht="15.75" customHeight="1">
      <c r="G620" s="23"/>
      <c r="K620" s="24"/>
      <c r="L620" s="24"/>
      <c r="N620" s="25"/>
      <c r="O620" s="25"/>
      <c r="P620" s="25"/>
      <c r="Q620" s="25"/>
      <c r="R620" s="25"/>
      <c r="S620" s="25"/>
      <c r="T620" s="25"/>
      <c r="U620" s="26"/>
      <c r="V620" s="27"/>
      <c r="W620" s="27"/>
      <c r="X620" s="27"/>
      <c r="Y620" s="27"/>
      <c r="Z620" s="27"/>
      <c r="AA620" s="27"/>
      <c r="AB620" s="27"/>
      <c r="AC620" s="27"/>
      <c r="AD620" s="27"/>
    </row>
    <row r="621" ht="15.75" customHeight="1">
      <c r="G621" s="23"/>
      <c r="K621" s="24"/>
      <c r="L621" s="24"/>
      <c r="N621" s="25"/>
      <c r="O621" s="25"/>
      <c r="P621" s="25"/>
      <c r="Q621" s="25"/>
      <c r="R621" s="25"/>
      <c r="S621" s="25"/>
      <c r="T621" s="25"/>
      <c r="U621" s="26"/>
      <c r="V621" s="27"/>
      <c r="W621" s="27"/>
      <c r="X621" s="27"/>
      <c r="Y621" s="27"/>
      <c r="Z621" s="27"/>
      <c r="AA621" s="27"/>
      <c r="AB621" s="27"/>
      <c r="AC621" s="27"/>
      <c r="AD621" s="27"/>
    </row>
    <row r="622" ht="15.75" customHeight="1">
      <c r="G622" s="23"/>
      <c r="K622" s="24"/>
      <c r="L622" s="24"/>
      <c r="N622" s="25"/>
      <c r="O622" s="25"/>
      <c r="P622" s="25"/>
      <c r="Q622" s="25"/>
      <c r="R622" s="25"/>
      <c r="S622" s="25"/>
      <c r="T622" s="25"/>
      <c r="U622" s="26"/>
      <c r="V622" s="27"/>
      <c r="W622" s="27"/>
      <c r="X622" s="27"/>
      <c r="Y622" s="27"/>
      <c r="Z622" s="27"/>
      <c r="AA622" s="27"/>
      <c r="AB622" s="27"/>
      <c r="AC622" s="27"/>
      <c r="AD622" s="27"/>
    </row>
    <row r="623" ht="15.75" customHeight="1">
      <c r="G623" s="23"/>
      <c r="K623" s="24"/>
      <c r="L623" s="24"/>
      <c r="N623" s="25"/>
      <c r="O623" s="25"/>
      <c r="P623" s="25"/>
      <c r="Q623" s="25"/>
      <c r="R623" s="25"/>
      <c r="S623" s="25"/>
      <c r="T623" s="25"/>
      <c r="U623" s="26"/>
      <c r="V623" s="27"/>
      <c r="W623" s="27"/>
      <c r="X623" s="27"/>
      <c r="Y623" s="27"/>
      <c r="Z623" s="27"/>
      <c r="AA623" s="27"/>
      <c r="AB623" s="27"/>
      <c r="AC623" s="27"/>
      <c r="AD623" s="27"/>
    </row>
    <row r="624" ht="15.75" customHeight="1">
      <c r="G624" s="23"/>
      <c r="K624" s="24"/>
      <c r="L624" s="24"/>
      <c r="N624" s="25"/>
      <c r="O624" s="25"/>
      <c r="P624" s="25"/>
      <c r="Q624" s="25"/>
      <c r="R624" s="25"/>
      <c r="S624" s="25"/>
      <c r="T624" s="25"/>
      <c r="U624" s="26"/>
      <c r="V624" s="27"/>
      <c r="W624" s="27"/>
      <c r="X624" s="27"/>
      <c r="Y624" s="27"/>
      <c r="Z624" s="27"/>
      <c r="AA624" s="27"/>
      <c r="AB624" s="27"/>
      <c r="AC624" s="27"/>
      <c r="AD624" s="27"/>
    </row>
    <row r="625" ht="15.75" customHeight="1">
      <c r="G625" s="23"/>
      <c r="K625" s="24"/>
      <c r="L625" s="24"/>
      <c r="N625" s="25"/>
      <c r="O625" s="25"/>
      <c r="P625" s="25"/>
      <c r="Q625" s="25"/>
      <c r="R625" s="25"/>
      <c r="S625" s="25"/>
      <c r="T625" s="25"/>
      <c r="U625" s="26"/>
      <c r="V625" s="27"/>
      <c r="W625" s="27"/>
      <c r="X625" s="27"/>
      <c r="Y625" s="27"/>
      <c r="Z625" s="27"/>
      <c r="AA625" s="27"/>
      <c r="AB625" s="27"/>
      <c r="AC625" s="27"/>
      <c r="AD625" s="27"/>
    </row>
    <row r="626" ht="15.75" customHeight="1">
      <c r="G626" s="23"/>
      <c r="K626" s="24"/>
      <c r="L626" s="24"/>
      <c r="N626" s="25"/>
      <c r="O626" s="25"/>
      <c r="P626" s="25"/>
      <c r="Q626" s="25"/>
      <c r="R626" s="25"/>
      <c r="S626" s="25"/>
      <c r="T626" s="25"/>
      <c r="U626" s="26"/>
      <c r="V626" s="27"/>
      <c r="W626" s="27"/>
      <c r="X626" s="27"/>
      <c r="Y626" s="27"/>
      <c r="Z626" s="27"/>
      <c r="AA626" s="27"/>
      <c r="AB626" s="27"/>
      <c r="AC626" s="27"/>
      <c r="AD626" s="27"/>
    </row>
    <row r="627" ht="15.75" customHeight="1">
      <c r="G627" s="23"/>
      <c r="K627" s="24"/>
      <c r="L627" s="24"/>
      <c r="N627" s="25"/>
      <c r="O627" s="25"/>
      <c r="P627" s="25"/>
      <c r="Q627" s="25"/>
      <c r="R627" s="25"/>
      <c r="S627" s="25"/>
      <c r="T627" s="25"/>
      <c r="U627" s="26"/>
      <c r="V627" s="27"/>
      <c r="W627" s="27"/>
      <c r="X627" s="27"/>
      <c r="Y627" s="27"/>
      <c r="Z627" s="27"/>
      <c r="AA627" s="27"/>
      <c r="AB627" s="27"/>
      <c r="AC627" s="27"/>
      <c r="AD627" s="27"/>
    </row>
    <row r="628" ht="15.75" customHeight="1">
      <c r="G628" s="23"/>
      <c r="K628" s="24"/>
      <c r="L628" s="24"/>
      <c r="N628" s="25"/>
      <c r="O628" s="25"/>
      <c r="P628" s="25"/>
      <c r="Q628" s="25"/>
      <c r="R628" s="25"/>
      <c r="S628" s="25"/>
      <c r="T628" s="25"/>
      <c r="U628" s="26"/>
      <c r="V628" s="27"/>
      <c r="W628" s="27"/>
      <c r="X628" s="27"/>
      <c r="Y628" s="27"/>
      <c r="Z628" s="27"/>
      <c r="AA628" s="27"/>
      <c r="AB628" s="27"/>
      <c r="AC628" s="27"/>
      <c r="AD628" s="27"/>
    </row>
    <row r="629" ht="15.75" customHeight="1">
      <c r="G629" s="23"/>
      <c r="K629" s="24"/>
      <c r="L629" s="24"/>
      <c r="N629" s="25"/>
      <c r="O629" s="25"/>
      <c r="P629" s="25"/>
      <c r="Q629" s="25"/>
      <c r="R629" s="25"/>
      <c r="S629" s="25"/>
      <c r="T629" s="25"/>
      <c r="U629" s="26"/>
      <c r="V629" s="27"/>
      <c r="W629" s="27"/>
      <c r="X629" s="27"/>
      <c r="Y629" s="27"/>
      <c r="Z629" s="27"/>
      <c r="AA629" s="27"/>
      <c r="AB629" s="27"/>
      <c r="AC629" s="27"/>
      <c r="AD629" s="27"/>
    </row>
    <row r="630" ht="15.75" customHeight="1">
      <c r="G630" s="23"/>
      <c r="K630" s="24"/>
      <c r="L630" s="24"/>
      <c r="N630" s="25"/>
      <c r="O630" s="25"/>
      <c r="P630" s="25"/>
      <c r="Q630" s="25"/>
      <c r="R630" s="25"/>
      <c r="S630" s="25"/>
      <c r="T630" s="25"/>
      <c r="U630" s="26"/>
      <c r="V630" s="27"/>
      <c r="W630" s="27"/>
      <c r="X630" s="27"/>
      <c r="Y630" s="27"/>
      <c r="Z630" s="27"/>
      <c r="AA630" s="27"/>
      <c r="AB630" s="27"/>
      <c r="AC630" s="27"/>
      <c r="AD630" s="27"/>
    </row>
    <row r="631" ht="15.75" customHeight="1">
      <c r="G631" s="23"/>
      <c r="K631" s="24"/>
      <c r="L631" s="24"/>
      <c r="N631" s="25"/>
      <c r="O631" s="25"/>
      <c r="P631" s="25"/>
      <c r="Q631" s="25"/>
      <c r="R631" s="25"/>
      <c r="S631" s="25"/>
      <c r="T631" s="25"/>
      <c r="U631" s="26"/>
      <c r="V631" s="27"/>
      <c r="W631" s="27"/>
      <c r="X631" s="27"/>
      <c r="Y631" s="27"/>
      <c r="Z631" s="27"/>
      <c r="AA631" s="27"/>
      <c r="AB631" s="27"/>
      <c r="AC631" s="27"/>
      <c r="AD631" s="27"/>
    </row>
    <row r="632" ht="15.75" customHeight="1">
      <c r="G632" s="23"/>
      <c r="K632" s="24"/>
      <c r="L632" s="24"/>
      <c r="N632" s="25"/>
      <c r="O632" s="25"/>
      <c r="P632" s="25"/>
      <c r="Q632" s="25"/>
      <c r="R632" s="25"/>
      <c r="S632" s="25"/>
      <c r="T632" s="25"/>
      <c r="U632" s="26"/>
      <c r="V632" s="27"/>
      <c r="W632" s="27"/>
      <c r="X632" s="27"/>
      <c r="Y632" s="27"/>
      <c r="Z632" s="27"/>
      <c r="AA632" s="27"/>
      <c r="AB632" s="27"/>
      <c r="AC632" s="27"/>
      <c r="AD632" s="27"/>
    </row>
    <row r="633" ht="15.75" customHeight="1">
      <c r="G633" s="23"/>
      <c r="K633" s="24"/>
      <c r="L633" s="24"/>
      <c r="N633" s="25"/>
      <c r="O633" s="25"/>
      <c r="P633" s="25"/>
      <c r="Q633" s="25"/>
      <c r="R633" s="25"/>
      <c r="S633" s="25"/>
      <c r="T633" s="25"/>
      <c r="U633" s="26"/>
      <c r="V633" s="27"/>
      <c r="W633" s="27"/>
      <c r="X633" s="27"/>
      <c r="Y633" s="27"/>
      <c r="Z633" s="27"/>
      <c r="AA633" s="27"/>
      <c r="AB633" s="27"/>
      <c r="AC633" s="27"/>
      <c r="AD633" s="27"/>
    </row>
    <row r="634" ht="15.75" customHeight="1">
      <c r="G634" s="23"/>
      <c r="K634" s="24"/>
      <c r="L634" s="24"/>
      <c r="N634" s="25"/>
      <c r="O634" s="25"/>
      <c r="P634" s="25"/>
      <c r="Q634" s="25"/>
      <c r="R634" s="25"/>
      <c r="S634" s="25"/>
      <c r="T634" s="25"/>
      <c r="U634" s="26"/>
      <c r="V634" s="27"/>
      <c r="W634" s="27"/>
      <c r="X634" s="27"/>
      <c r="Y634" s="27"/>
      <c r="Z634" s="27"/>
      <c r="AA634" s="27"/>
      <c r="AB634" s="27"/>
      <c r="AC634" s="27"/>
      <c r="AD634" s="27"/>
    </row>
    <row r="635" ht="15.75" customHeight="1">
      <c r="G635" s="23"/>
      <c r="K635" s="24"/>
      <c r="L635" s="24"/>
      <c r="N635" s="25"/>
      <c r="O635" s="25"/>
      <c r="P635" s="25"/>
      <c r="Q635" s="25"/>
      <c r="R635" s="25"/>
      <c r="S635" s="25"/>
      <c r="T635" s="25"/>
      <c r="U635" s="26"/>
      <c r="V635" s="27"/>
      <c r="W635" s="27"/>
      <c r="X635" s="27"/>
      <c r="Y635" s="27"/>
      <c r="Z635" s="27"/>
      <c r="AA635" s="27"/>
      <c r="AB635" s="27"/>
      <c r="AC635" s="27"/>
      <c r="AD635" s="27"/>
    </row>
    <row r="636" ht="15.75" customHeight="1">
      <c r="G636" s="23"/>
      <c r="K636" s="24"/>
      <c r="L636" s="24"/>
      <c r="N636" s="25"/>
      <c r="O636" s="25"/>
      <c r="P636" s="25"/>
      <c r="Q636" s="25"/>
      <c r="R636" s="25"/>
      <c r="S636" s="25"/>
      <c r="T636" s="25"/>
      <c r="U636" s="26"/>
      <c r="V636" s="27"/>
      <c r="W636" s="27"/>
      <c r="X636" s="27"/>
      <c r="Y636" s="27"/>
      <c r="Z636" s="27"/>
      <c r="AA636" s="27"/>
      <c r="AB636" s="27"/>
      <c r="AC636" s="27"/>
      <c r="AD636" s="27"/>
    </row>
    <row r="637" ht="15.75" customHeight="1">
      <c r="G637" s="23"/>
      <c r="K637" s="24"/>
      <c r="L637" s="24"/>
      <c r="N637" s="25"/>
      <c r="O637" s="25"/>
      <c r="P637" s="25"/>
      <c r="Q637" s="25"/>
      <c r="R637" s="25"/>
      <c r="S637" s="25"/>
      <c r="T637" s="25"/>
      <c r="U637" s="26"/>
      <c r="V637" s="27"/>
      <c r="W637" s="27"/>
      <c r="X637" s="27"/>
      <c r="Y637" s="27"/>
      <c r="Z637" s="27"/>
      <c r="AA637" s="27"/>
      <c r="AB637" s="27"/>
      <c r="AC637" s="27"/>
      <c r="AD637" s="27"/>
    </row>
    <row r="638" ht="15.75" customHeight="1">
      <c r="G638" s="23"/>
      <c r="K638" s="24"/>
      <c r="L638" s="24"/>
      <c r="N638" s="25"/>
      <c r="O638" s="25"/>
      <c r="P638" s="25"/>
      <c r="Q638" s="25"/>
      <c r="R638" s="25"/>
      <c r="S638" s="25"/>
      <c r="T638" s="25"/>
      <c r="U638" s="26"/>
      <c r="V638" s="27"/>
      <c r="W638" s="27"/>
      <c r="X638" s="27"/>
      <c r="Y638" s="27"/>
      <c r="Z638" s="27"/>
      <c r="AA638" s="27"/>
      <c r="AB638" s="27"/>
      <c r="AC638" s="27"/>
      <c r="AD638" s="27"/>
    </row>
    <row r="639" ht="15.75" customHeight="1">
      <c r="G639" s="23"/>
      <c r="K639" s="24"/>
      <c r="L639" s="24"/>
      <c r="N639" s="25"/>
      <c r="O639" s="25"/>
      <c r="P639" s="25"/>
      <c r="Q639" s="25"/>
      <c r="R639" s="25"/>
      <c r="S639" s="25"/>
      <c r="T639" s="25"/>
      <c r="U639" s="26"/>
      <c r="V639" s="27"/>
      <c r="W639" s="27"/>
      <c r="X639" s="27"/>
      <c r="Y639" s="27"/>
      <c r="Z639" s="27"/>
      <c r="AA639" s="27"/>
      <c r="AB639" s="27"/>
      <c r="AC639" s="27"/>
      <c r="AD639" s="27"/>
    </row>
    <row r="640" ht="15.75" customHeight="1">
      <c r="G640" s="23"/>
      <c r="K640" s="24"/>
      <c r="L640" s="24"/>
      <c r="N640" s="25"/>
      <c r="O640" s="25"/>
      <c r="P640" s="25"/>
      <c r="Q640" s="25"/>
      <c r="R640" s="25"/>
      <c r="S640" s="25"/>
      <c r="T640" s="25"/>
      <c r="U640" s="26"/>
      <c r="V640" s="27"/>
      <c r="W640" s="27"/>
      <c r="X640" s="27"/>
      <c r="Y640" s="27"/>
      <c r="Z640" s="27"/>
      <c r="AA640" s="27"/>
      <c r="AB640" s="27"/>
      <c r="AC640" s="27"/>
      <c r="AD640" s="27"/>
    </row>
    <row r="641" ht="15.75" customHeight="1">
      <c r="G641" s="23"/>
      <c r="K641" s="24"/>
      <c r="L641" s="24"/>
      <c r="N641" s="25"/>
      <c r="O641" s="25"/>
      <c r="P641" s="25"/>
      <c r="Q641" s="25"/>
      <c r="R641" s="25"/>
      <c r="S641" s="25"/>
      <c r="T641" s="25"/>
      <c r="U641" s="26"/>
      <c r="V641" s="27"/>
      <c r="W641" s="27"/>
      <c r="X641" s="27"/>
      <c r="Y641" s="27"/>
      <c r="Z641" s="27"/>
      <c r="AA641" s="27"/>
      <c r="AB641" s="27"/>
      <c r="AC641" s="27"/>
      <c r="AD641" s="27"/>
    </row>
    <row r="642" ht="15.75" customHeight="1">
      <c r="G642" s="23"/>
      <c r="K642" s="24"/>
      <c r="L642" s="24"/>
      <c r="N642" s="25"/>
      <c r="O642" s="25"/>
      <c r="P642" s="25"/>
      <c r="Q642" s="25"/>
      <c r="R642" s="25"/>
      <c r="S642" s="25"/>
      <c r="T642" s="25"/>
      <c r="U642" s="26"/>
      <c r="V642" s="27"/>
      <c r="W642" s="27"/>
      <c r="X642" s="27"/>
      <c r="Y642" s="27"/>
      <c r="Z642" s="27"/>
      <c r="AA642" s="27"/>
      <c r="AB642" s="27"/>
      <c r="AC642" s="27"/>
      <c r="AD642" s="27"/>
    </row>
    <row r="643" ht="15.75" customHeight="1">
      <c r="G643" s="23"/>
      <c r="K643" s="24"/>
      <c r="L643" s="24"/>
      <c r="N643" s="25"/>
      <c r="O643" s="25"/>
      <c r="P643" s="25"/>
      <c r="Q643" s="25"/>
      <c r="R643" s="25"/>
      <c r="S643" s="25"/>
      <c r="T643" s="25"/>
      <c r="U643" s="26"/>
      <c r="V643" s="27"/>
      <c r="W643" s="27"/>
      <c r="X643" s="27"/>
      <c r="Y643" s="27"/>
      <c r="Z643" s="27"/>
      <c r="AA643" s="27"/>
      <c r="AB643" s="27"/>
      <c r="AC643" s="27"/>
      <c r="AD643" s="27"/>
    </row>
    <row r="644" ht="15.75" customHeight="1">
      <c r="G644" s="23"/>
      <c r="K644" s="24"/>
      <c r="L644" s="24"/>
      <c r="N644" s="25"/>
      <c r="O644" s="25"/>
      <c r="P644" s="25"/>
      <c r="Q644" s="25"/>
      <c r="R644" s="25"/>
      <c r="S644" s="25"/>
      <c r="T644" s="25"/>
      <c r="U644" s="26"/>
      <c r="V644" s="27"/>
      <c r="W644" s="27"/>
      <c r="X644" s="27"/>
      <c r="Y644" s="27"/>
      <c r="Z644" s="27"/>
      <c r="AA644" s="27"/>
      <c r="AB644" s="27"/>
      <c r="AC644" s="27"/>
      <c r="AD644" s="27"/>
    </row>
    <row r="645" ht="15.75" customHeight="1">
      <c r="G645" s="23"/>
      <c r="K645" s="24"/>
      <c r="L645" s="24"/>
      <c r="N645" s="25"/>
      <c r="O645" s="25"/>
      <c r="P645" s="25"/>
      <c r="Q645" s="25"/>
      <c r="R645" s="25"/>
      <c r="S645" s="25"/>
      <c r="T645" s="25"/>
      <c r="U645" s="26"/>
      <c r="V645" s="27"/>
      <c r="W645" s="27"/>
      <c r="X645" s="27"/>
      <c r="Y645" s="27"/>
      <c r="Z645" s="27"/>
      <c r="AA645" s="27"/>
      <c r="AB645" s="27"/>
      <c r="AC645" s="27"/>
      <c r="AD645" s="27"/>
    </row>
    <row r="646" ht="15.75" customHeight="1">
      <c r="G646" s="23"/>
      <c r="K646" s="24"/>
      <c r="L646" s="24"/>
      <c r="N646" s="25"/>
      <c r="O646" s="25"/>
      <c r="P646" s="25"/>
      <c r="Q646" s="25"/>
      <c r="R646" s="25"/>
      <c r="S646" s="25"/>
      <c r="T646" s="25"/>
      <c r="U646" s="26"/>
      <c r="V646" s="27"/>
      <c r="W646" s="27"/>
      <c r="X646" s="27"/>
      <c r="Y646" s="27"/>
      <c r="Z646" s="27"/>
      <c r="AA646" s="27"/>
      <c r="AB646" s="27"/>
      <c r="AC646" s="27"/>
      <c r="AD646" s="27"/>
    </row>
    <row r="647" ht="15.75" customHeight="1">
      <c r="G647" s="23"/>
      <c r="K647" s="24"/>
      <c r="L647" s="24"/>
      <c r="N647" s="25"/>
      <c r="O647" s="25"/>
      <c r="P647" s="25"/>
      <c r="Q647" s="25"/>
      <c r="R647" s="25"/>
      <c r="S647" s="25"/>
      <c r="T647" s="25"/>
      <c r="U647" s="26"/>
      <c r="V647" s="27"/>
      <c r="W647" s="27"/>
      <c r="X647" s="27"/>
      <c r="Y647" s="27"/>
      <c r="Z647" s="27"/>
      <c r="AA647" s="27"/>
      <c r="AB647" s="27"/>
      <c r="AC647" s="27"/>
      <c r="AD647" s="27"/>
    </row>
    <row r="648" ht="15.75" customHeight="1">
      <c r="G648" s="23"/>
      <c r="K648" s="24"/>
      <c r="L648" s="24"/>
      <c r="N648" s="25"/>
      <c r="O648" s="25"/>
      <c r="P648" s="25"/>
      <c r="Q648" s="25"/>
      <c r="R648" s="25"/>
      <c r="S648" s="25"/>
      <c r="T648" s="25"/>
      <c r="U648" s="26"/>
      <c r="V648" s="27"/>
      <c r="W648" s="27"/>
      <c r="X648" s="27"/>
      <c r="Y648" s="27"/>
      <c r="Z648" s="27"/>
      <c r="AA648" s="27"/>
      <c r="AB648" s="27"/>
      <c r="AC648" s="27"/>
      <c r="AD648" s="27"/>
    </row>
    <row r="649" ht="15.75" customHeight="1">
      <c r="G649" s="23"/>
      <c r="K649" s="24"/>
      <c r="L649" s="24"/>
      <c r="N649" s="25"/>
      <c r="O649" s="25"/>
      <c r="P649" s="25"/>
      <c r="Q649" s="25"/>
      <c r="R649" s="25"/>
      <c r="S649" s="25"/>
      <c r="T649" s="25"/>
      <c r="U649" s="26"/>
      <c r="V649" s="27"/>
      <c r="W649" s="27"/>
      <c r="X649" s="27"/>
      <c r="Y649" s="27"/>
      <c r="Z649" s="27"/>
      <c r="AA649" s="27"/>
      <c r="AB649" s="27"/>
      <c r="AC649" s="27"/>
      <c r="AD649" s="27"/>
    </row>
    <row r="650" ht="15.75" customHeight="1">
      <c r="G650" s="23"/>
      <c r="K650" s="24"/>
      <c r="L650" s="24"/>
      <c r="N650" s="25"/>
      <c r="O650" s="25"/>
      <c r="P650" s="25"/>
      <c r="Q650" s="25"/>
      <c r="R650" s="25"/>
      <c r="S650" s="25"/>
      <c r="T650" s="25"/>
      <c r="U650" s="26"/>
      <c r="V650" s="27"/>
      <c r="W650" s="27"/>
      <c r="X650" s="27"/>
      <c r="Y650" s="27"/>
      <c r="Z650" s="27"/>
      <c r="AA650" s="27"/>
      <c r="AB650" s="27"/>
      <c r="AC650" s="27"/>
      <c r="AD650" s="27"/>
    </row>
    <row r="651" ht="15.75" customHeight="1">
      <c r="G651" s="23"/>
      <c r="K651" s="24"/>
      <c r="L651" s="24"/>
      <c r="N651" s="25"/>
      <c r="O651" s="25"/>
      <c r="P651" s="25"/>
      <c r="Q651" s="25"/>
      <c r="R651" s="25"/>
      <c r="S651" s="25"/>
      <c r="T651" s="25"/>
      <c r="U651" s="26"/>
      <c r="V651" s="27"/>
      <c r="W651" s="27"/>
      <c r="X651" s="27"/>
      <c r="Y651" s="27"/>
      <c r="Z651" s="27"/>
      <c r="AA651" s="27"/>
      <c r="AB651" s="27"/>
      <c r="AC651" s="27"/>
      <c r="AD651" s="27"/>
    </row>
    <row r="652" ht="15.75" customHeight="1">
      <c r="G652" s="23"/>
      <c r="K652" s="24"/>
      <c r="L652" s="24"/>
      <c r="N652" s="25"/>
      <c r="O652" s="25"/>
      <c r="P652" s="25"/>
      <c r="Q652" s="25"/>
      <c r="R652" s="25"/>
      <c r="S652" s="25"/>
      <c r="T652" s="25"/>
      <c r="U652" s="26"/>
      <c r="V652" s="27"/>
      <c r="W652" s="27"/>
      <c r="X652" s="27"/>
      <c r="Y652" s="27"/>
      <c r="Z652" s="27"/>
      <c r="AA652" s="27"/>
      <c r="AB652" s="27"/>
      <c r="AC652" s="27"/>
      <c r="AD652" s="27"/>
    </row>
    <row r="653" ht="15.75" customHeight="1">
      <c r="G653" s="23"/>
      <c r="K653" s="24"/>
      <c r="L653" s="24"/>
      <c r="N653" s="25"/>
      <c r="O653" s="25"/>
      <c r="P653" s="25"/>
      <c r="Q653" s="25"/>
      <c r="R653" s="25"/>
      <c r="S653" s="25"/>
      <c r="T653" s="25"/>
      <c r="U653" s="26"/>
      <c r="V653" s="27"/>
      <c r="W653" s="27"/>
      <c r="X653" s="27"/>
      <c r="Y653" s="27"/>
      <c r="Z653" s="27"/>
      <c r="AA653" s="27"/>
      <c r="AB653" s="27"/>
      <c r="AC653" s="27"/>
      <c r="AD653" s="27"/>
    </row>
    <row r="654" ht="15.75" customHeight="1">
      <c r="G654" s="23"/>
      <c r="K654" s="24"/>
      <c r="L654" s="24"/>
      <c r="N654" s="25"/>
      <c r="O654" s="25"/>
      <c r="P654" s="25"/>
      <c r="Q654" s="25"/>
      <c r="R654" s="25"/>
      <c r="S654" s="25"/>
      <c r="T654" s="25"/>
      <c r="U654" s="26"/>
      <c r="V654" s="27"/>
      <c r="W654" s="27"/>
      <c r="X654" s="27"/>
      <c r="Y654" s="27"/>
      <c r="Z654" s="27"/>
      <c r="AA654" s="27"/>
      <c r="AB654" s="27"/>
      <c r="AC654" s="27"/>
      <c r="AD654" s="27"/>
    </row>
    <row r="655" ht="15.75" customHeight="1">
      <c r="G655" s="23"/>
      <c r="K655" s="24"/>
      <c r="L655" s="24"/>
      <c r="N655" s="25"/>
      <c r="O655" s="25"/>
      <c r="P655" s="25"/>
      <c r="Q655" s="25"/>
      <c r="R655" s="25"/>
      <c r="S655" s="25"/>
      <c r="T655" s="25"/>
      <c r="U655" s="26"/>
      <c r="V655" s="27"/>
      <c r="W655" s="27"/>
      <c r="X655" s="27"/>
      <c r="Y655" s="27"/>
      <c r="Z655" s="27"/>
      <c r="AA655" s="27"/>
      <c r="AB655" s="27"/>
      <c r="AC655" s="27"/>
      <c r="AD655" s="27"/>
    </row>
    <row r="656" ht="15.75" customHeight="1">
      <c r="G656" s="23"/>
      <c r="K656" s="24"/>
      <c r="L656" s="24"/>
      <c r="N656" s="25"/>
      <c r="O656" s="25"/>
      <c r="P656" s="25"/>
      <c r="Q656" s="25"/>
      <c r="R656" s="25"/>
      <c r="S656" s="25"/>
      <c r="T656" s="25"/>
      <c r="U656" s="26"/>
      <c r="V656" s="27"/>
      <c r="W656" s="27"/>
      <c r="X656" s="27"/>
      <c r="Y656" s="27"/>
      <c r="Z656" s="27"/>
      <c r="AA656" s="27"/>
      <c r="AB656" s="27"/>
      <c r="AC656" s="27"/>
      <c r="AD656" s="27"/>
    </row>
    <row r="657" ht="15.75" customHeight="1">
      <c r="G657" s="23"/>
      <c r="K657" s="24"/>
      <c r="L657" s="24"/>
      <c r="N657" s="25"/>
      <c r="O657" s="25"/>
      <c r="P657" s="25"/>
      <c r="Q657" s="25"/>
      <c r="R657" s="25"/>
      <c r="S657" s="25"/>
      <c r="T657" s="25"/>
      <c r="U657" s="26"/>
      <c r="V657" s="27"/>
      <c r="W657" s="27"/>
      <c r="X657" s="27"/>
      <c r="Y657" s="27"/>
      <c r="Z657" s="27"/>
      <c r="AA657" s="27"/>
      <c r="AB657" s="27"/>
      <c r="AC657" s="27"/>
      <c r="AD657" s="27"/>
    </row>
    <row r="658" ht="15.75" customHeight="1">
      <c r="G658" s="23"/>
      <c r="K658" s="24"/>
      <c r="L658" s="24"/>
      <c r="N658" s="25"/>
      <c r="O658" s="25"/>
      <c r="P658" s="25"/>
      <c r="Q658" s="25"/>
      <c r="R658" s="25"/>
      <c r="S658" s="25"/>
      <c r="T658" s="25"/>
      <c r="U658" s="26"/>
      <c r="V658" s="27"/>
      <c r="W658" s="27"/>
      <c r="X658" s="27"/>
      <c r="Y658" s="27"/>
      <c r="Z658" s="27"/>
      <c r="AA658" s="27"/>
      <c r="AB658" s="27"/>
      <c r="AC658" s="27"/>
      <c r="AD658" s="27"/>
    </row>
    <row r="659" ht="15.75" customHeight="1">
      <c r="G659" s="23"/>
      <c r="K659" s="24"/>
      <c r="L659" s="24"/>
      <c r="N659" s="25"/>
      <c r="O659" s="25"/>
      <c r="P659" s="25"/>
      <c r="Q659" s="25"/>
      <c r="R659" s="25"/>
      <c r="S659" s="25"/>
      <c r="T659" s="25"/>
      <c r="U659" s="26"/>
      <c r="V659" s="27"/>
      <c r="W659" s="27"/>
      <c r="X659" s="27"/>
      <c r="Y659" s="27"/>
      <c r="Z659" s="27"/>
      <c r="AA659" s="27"/>
      <c r="AB659" s="27"/>
      <c r="AC659" s="27"/>
      <c r="AD659" s="27"/>
    </row>
    <row r="660" ht="15.75" customHeight="1">
      <c r="G660" s="23"/>
      <c r="K660" s="24"/>
      <c r="L660" s="24"/>
      <c r="N660" s="25"/>
      <c r="O660" s="25"/>
      <c r="P660" s="25"/>
      <c r="Q660" s="25"/>
      <c r="R660" s="25"/>
      <c r="S660" s="25"/>
      <c r="T660" s="25"/>
      <c r="U660" s="26"/>
      <c r="V660" s="27"/>
      <c r="W660" s="27"/>
      <c r="X660" s="27"/>
      <c r="Y660" s="27"/>
      <c r="Z660" s="27"/>
      <c r="AA660" s="27"/>
      <c r="AB660" s="27"/>
      <c r="AC660" s="27"/>
      <c r="AD660" s="27"/>
    </row>
    <row r="661" ht="15.75" customHeight="1">
      <c r="G661" s="23"/>
      <c r="K661" s="24"/>
      <c r="L661" s="24"/>
      <c r="N661" s="25"/>
      <c r="O661" s="25"/>
      <c r="P661" s="25"/>
      <c r="Q661" s="25"/>
      <c r="R661" s="25"/>
      <c r="S661" s="25"/>
      <c r="T661" s="25"/>
      <c r="U661" s="26"/>
      <c r="V661" s="27"/>
      <c r="W661" s="27"/>
      <c r="X661" s="27"/>
      <c r="Y661" s="27"/>
      <c r="Z661" s="27"/>
      <c r="AA661" s="27"/>
      <c r="AB661" s="27"/>
      <c r="AC661" s="27"/>
      <c r="AD661" s="27"/>
    </row>
    <row r="662" ht="15.75" customHeight="1">
      <c r="G662" s="23"/>
      <c r="K662" s="24"/>
      <c r="L662" s="24"/>
      <c r="N662" s="25"/>
      <c r="O662" s="25"/>
      <c r="P662" s="25"/>
      <c r="Q662" s="25"/>
      <c r="R662" s="25"/>
      <c r="S662" s="25"/>
      <c r="T662" s="25"/>
      <c r="U662" s="26"/>
      <c r="V662" s="27"/>
      <c r="W662" s="27"/>
      <c r="X662" s="27"/>
      <c r="Y662" s="27"/>
      <c r="Z662" s="27"/>
      <c r="AA662" s="27"/>
      <c r="AB662" s="27"/>
      <c r="AC662" s="27"/>
      <c r="AD662" s="27"/>
    </row>
    <row r="663" ht="15.75" customHeight="1">
      <c r="G663" s="23"/>
      <c r="K663" s="24"/>
      <c r="L663" s="24"/>
      <c r="N663" s="25"/>
      <c r="O663" s="25"/>
      <c r="P663" s="25"/>
      <c r="Q663" s="25"/>
      <c r="R663" s="25"/>
      <c r="S663" s="25"/>
      <c r="T663" s="25"/>
      <c r="U663" s="26"/>
      <c r="V663" s="27"/>
      <c r="W663" s="27"/>
      <c r="X663" s="27"/>
      <c r="Y663" s="27"/>
      <c r="Z663" s="27"/>
      <c r="AA663" s="27"/>
      <c r="AB663" s="27"/>
      <c r="AC663" s="27"/>
      <c r="AD663" s="27"/>
    </row>
    <row r="664" ht="15.75" customHeight="1">
      <c r="G664" s="23"/>
      <c r="K664" s="24"/>
      <c r="L664" s="24"/>
      <c r="N664" s="25"/>
      <c r="O664" s="25"/>
      <c r="P664" s="25"/>
      <c r="Q664" s="25"/>
      <c r="R664" s="25"/>
      <c r="S664" s="25"/>
      <c r="T664" s="25"/>
      <c r="U664" s="26"/>
      <c r="V664" s="27"/>
      <c r="W664" s="27"/>
      <c r="X664" s="27"/>
      <c r="Y664" s="27"/>
      <c r="Z664" s="27"/>
      <c r="AA664" s="27"/>
      <c r="AB664" s="27"/>
      <c r="AC664" s="27"/>
      <c r="AD664" s="27"/>
    </row>
    <row r="665" ht="15.75" customHeight="1">
      <c r="G665" s="23"/>
      <c r="K665" s="24"/>
      <c r="L665" s="24"/>
      <c r="N665" s="25"/>
      <c r="O665" s="25"/>
      <c r="P665" s="25"/>
      <c r="Q665" s="25"/>
      <c r="R665" s="25"/>
      <c r="S665" s="25"/>
      <c r="T665" s="25"/>
      <c r="U665" s="26"/>
      <c r="V665" s="27"/>
      <c r="W665" s="27"/>
      <c r="X665" s="27"/>
      <c r="Y665" s="27"/>
      <c r="Z665" s="27"/>
      <c r="AA665" s="27"/>
      <c r="AB665" s="27"/>
      <c r="AC665" s="27"/>
      <c r="AD665" s="27"/>
    </row>
    <row r="666" ht="15.75" customHeight="1">
      <c r="G666" s="23"/>
      <c r="K666" s="24"/>
      <c r="L666" s="24"/>
      <c r="N666" s="25"/>
      <c r="O666" s="25"/>
      <c r="P666" s="25"/>
      <c r="Q666" s="25"/>
      <c r="R666" s="25"/>
      <c r="S666" s="25"/>
      <c r="T666" s="25"/>
      <c r="U666" s="26"/>
      <c r="V666" s="27"/>
      <c r="W666" s="27"/>
      <c r="X666" s="27"/>
      <c r="Y666" s="27"/>
      <c r="Z666" s="27"/>
      <c r="AA666" s="27"/>
      <c r="AB666" s="27"/>
      <c r="AC666" s="27"/>
      <c r="AD666" s="27"/>
    </row>
    <row r="667" ht="15.75" customHeight="1">
      <c r="G667" s="23"/>
      <c r="K667" s="24"/>
      <c r="L667" s="24"/>
      <c r="N667" s="25"/>
      <c r="O667" s="25"/>
      <c r="P667" s="25"/>
      <c r="Q667" s="25"/>
      <c r="R667" s="25"/>
      <c r="S667" s="25"/>
      <c r="T667" s="25"/>
      <c r="U667" s="26"/>
      <c r="V667" s="27"/>
      <c r="W667" s="27"/>
      <c r="X667" s="27"/>
      <c r="Y667" s="27"/>
      <c r="Z667" s="27"/>
      <c r="AA667" s="27"/>
      <c r="AB667" s="27"/>
      <c r="AC667" s="27"/>
      <c r="AD667" s="27"/>
    </row>
    <row r="668" ht="15.75" customHeight="1">
      <c r="G668" s="23"/>
      <c r="K668" s="24"/>
      <c r="L668" s="24"/>
      <c r="N668" s="25"/>
      <c r="O668" s="25"/>
      <c r="P668" s="25"/>
      <c r="Q668" s="25"/>
      <c r="R668" s="25"/>
      <c r="S668" s="25"/>
      <c r="T668" s="25"/>
      <c r="U668" s="26"/>
      <c r="V668" s="27"/>
      <c r="W668" s="27"/>
      <c r="X668" s="27"/>
      <c r="Y668" s="27"/>
      <c r="Z668" s="27"/>
      <c r="AA668" s="27"/>
      <c r="AB668" s="27"/>
      <c r="AC668" s="27"/>
      <c r="AD668" s="27"/>
    </row>
    <row r="669" ht="15.75" customHeight="1">
      <c r="G669" s="23"/>
      <c r="K669" s="24"/>
      <c r="L669" s="24"/>
      <c r="N669" s="25"/>
      <c r="O669" s="25"/>
      <c r="P669" s="25"/>
      <c r="Q669" s="25"/>
      <c r="R669" s="25"/>
      <c r="S669" s="25"/>
      <c r="T669" s="25"/>
      <c r="U669" s="26"/>
      <c r="V669" s="27"/>
      <c r="W669" s="27"/>
      <c r="X669" s="27"/>
      <c r="Y669" s="27"/>
      <c r="Z669" s="27"/>
      <c r="AA669" s="27"/>
      <c r="AB669" s="27"/>
      <c r="AC669" s="27"/>
      <c r="AD669" s="27"/>
    </row>
    <row r="670" ht="15.75" customHeight="1">
      <c r="G670" s="23"/>
      <c r="K670" s="24"/>
      <c r="L670" s="24"/>
      <c r="N670" s="25"/>
      <c r="O670" s="25"/>
      <c r="P670" s="25"/>
      <c r="Q670" s="25"/>
      <c r="R670" s="25"/>
      <c r="S670" s="25"/>
      <c r="T670" s="25"/>
      <c r="U670" s="26"/>
      <c r="V670" s="27"/>
      <c r="W670" s="27"/>
      <c r="X670" s="27"/>
      <c r="Y670" s="27"/>
      <c r="Z670" s="27"/>
      <c r="AA670" s="27"/>
      <c r="AB670" s="27"/>
      <c r="AC670" s="27"/>
      <c r="AD670" s="27"/>
    </row>
    <row r="671" ht="15.75" customHeight="1">
      <c r="G671" s="23"/>
      <c r="K671" s="24"/>
      <c r="L671" s="24"/>
      <c r="N671" s="25"/>
      <c r="O671" s="25"/>
      <c r="P671" s="25"/>
      <c r="Q671" s="25"/>
      <c r="R671" s="25"/>
      <c r="S671" s="25"/>
      <c r="T671" s="25"/>
      <c r="U671" s="26"/>
      <c r="V671" s="27"/>
      <c r="W671" s="27"/>
      <c r="X671" s="27"/>
      <c r="Y671" s="27"/>
      <c r="Z671" s="27"/>
      <c r="AA671" s="27"/>
      <c r="AB671" s="27"/>
      <c r="AC671" s="27"/>
      <c r="AD671" s="27"/>
    </row>
    <row r="672" ht="15.75" customHeight="1">
      <c r="G672" s="23"/>
      <c r="K672" s="24"/>
      <c r="L672" s="24"/>
      <c r="N672" s="25"/>
      <c r="O672" s="25"/>
      <c r="P672" s="25"/>
      <c r="Q672" s="25"/>
      <c r="R672" s="25"/>
      <c r="S672" s="25"/>
      <c r="T672" s="25"/>
      <c r="U672" s="26"/>
      <c r="V672" s="27"/>
      <c r="W672" s="27"/>
      <c r="X672" s="27"/>
      <c r="Y672" s="27"/>
      <c r="Z672" s="27"/>
      <c r="AA672" s="27"/>
      <c r="AB672" s="27"/>
      <c r="AC672" s="27"/>
      <c r="AD672" s="27"/>
    </row>
    <row r="673" ht="15.75" customHeight="1">
      <c r="G673" s="23"/>
      <c r="K673" s="24"/>
      <c r="L673" s="24"/>
      <c r="N673" s="25"/>
      <c r="O673" s="25"/>
      <c r="P673" s="25"/>
      <c r="Q673" s="25"/>
      <c r="R673" s="25"/>
      <c r="S673" s="25"/>
      <c r="T673" s="25"/>
      <c r="U673" s="26"/>
      <c r="V673" s="27"/>
      <c r="W673" s="27"/>
      <c r="X673" s="27"/>
      <c r="Y673" s="27"/>
      <c r="Z673" s="27"/>
      <c r="AA673" s="27"/>
      <c r="AB673" s="27"/>
      <c r="AC673" s="27"/>
      <c r="AD673" s="27"/>
    </row>
    <row r="674" ht="15.75" customHeight="1">
      <c r="G674" s="23"/>
      <c r="K674" s="24"/>
      <c r="L674" s="24"/>
      <c r="N674" s="25"/>
      <c r="O674" s="25"/>
      <c r="P674" s="25"/>
      <c r="Q674" s="25"/>
      <c r="R674" s="25"/>
      <c r="S674" s="25"/>
      <c r="T674" s="25"/>
      <c r="U674" s="26"/>
      <c r="V674" s="27"/>
      <c r="W674" s="27"/>
      <c r="X674" s="27"/>
      <c r="Y674" s="27"/>
      <c r="Z674" s="27"/>
      <c r="AA674" s="27"/>
      <c r="AB674" s="27"/>
      <c r="AC674" s="27"/>
      <c r="AD674" s="27"/>
    </row>
    <row r="675" ht="15.75" customHeight="1">
      <c r="G675" s="23"/>
      <c r="K675" s="24"/>
      <c r="L675" s="24"/>
      <c r="N675" s="25"/>
      <c r="O675" s="25"/>
      <c r="P675" s="25"/>
      <c r="Q675" s="25"/>
      <c r="R675" s="25"/>
      <c r="S675" s="25"/>
      <c r="T675" s="25"/>
      <c r="U675" s="26"/>
      <c r="V675" s="27"/>
      <c r="W675" s="27"/>
      <c r="X675" s="27"/>
      <c r="Y675" s="27"/>
      <c r="Z675" s="27"/>
      <c r="AA675" s="27"/>
      <c r="AB675" s="27"/>
      <c r="AC675" s="27"/>
      <c r="AD675" s="27"/>
    </row>
    <row r="676" ht="15.75" customHeight="1">
      <c r="G676" s="23"/>
      <c r="K676" s="24"/>
      <c r="L676" s="24"/>
      <c r="N676" s="25"/>
      <c r="O676" s="25"/>
      <c r="P676" s="25"/>
      <c r="Q676" s="25"/>
      <c r="R676" s="25"/>
      <c r="S676" s="25"/>
      <c r="T676" s="25"/>
      <c r="U676" s="26"/>
      <c r="V676" s="27"/>
      <c r="W676" s="27"/>
      <c r="X676" s="27"/>
      <c r="Y676" s="27"/>
      <c r="Z676" s="27"/>
      <c r="AA676" s="27"/>
      <c r="AB676" s="27"/>
      <c r="AC676" s="27"/>
      <c r="AD676" s="27"/>
    </row>
    <row r="677" ht="15.75" customHeight="1">
      <c r="G677" s="23"/>
      <c r="K677" s="24"/>
      <c r="L677" s="24"/>
      <c r="N677" s="25"/>
      <c r="O677" s="25"/>
      <c r="P677" s="25"/>
      <c r="Q677" s="25"/>
      <c r="R677" s="25"/>
      <c r="S677" s="25"/>
      <c r="T677" s="25"/>
      <c r="U677" s="26"/>
      <c r="V677" s="27"/>
      <c r="W677" s="27"/>
      <c r="X677" s="27"/>
      <c r="Y677" s="27"/>
      <c r="Z677" s="27"/>
      <c r="AA677" s="27"/>
      <c r="AB677" s="27"/>
      <c r="AC677" s="27"/>
      <c r="AD677" s="27"/>
    </row>
    <row r="678" ht="15.75" customHeight="1">
      <c r="G678" s="23"/>
      <c r="K678" s="24"/>
      <c r="L678" s="24"/>
      <c r="N678" s="25"/>
      <c r="O678" s="25"/>
      <c r="P678" s="25"/>
      <c r="Q678" s="25"/>
      <c r="R678" s="25"/>
      <c r="S678" s="25"/>
      <c r="T678" s="25"/>
      <c r="U678" s="26"/>
      <c r="V678" s="27"/>
      <c r="W678" s="27"/>
      <c r="X678" s="27"/>
      <c r="Y678" s="27"/>
      <c r="Z678" s="27"/>
      <c r="AA678" s="27"/>
      <c r="AB678" s="27"/>
      <c r="AC678" s="27"/>
      <c r="AD678" s="27"/>
    </row>
    <row r="679" ht="15.75" customHeight="1">
      <c r="G679" s="23"/>
      <c r="K679" s="24"/>
      <c r="L679" s="24"/>
      <c r="N679" s="25"/>
      <c r="O679" s="25"/>
      <c r="P679" s="25"/>
      <c r="Q679" s="25"/>
      <c r="R679" s="25"/>
      <c r="S679" s="25"/>
      <c r="T679" s="25"/>
      <c r="U679" s="26"/>
      <c r="V679" s="27"/>
      <c r="W679" s="27"/>
      <c r="X679" s="27"/>
      <c r="Y679" s="27"/>
      <c r="Z679" s="27"/>
      <c r="AA679" s="27"/>
      <c r="AB679" s="27"/>
      <c r="AC679" s="27"/>
      <c r="AD679" s="27"/>
    </row>
    <row r="680" ht="15.75" customHeight="1">
      <c r="G680" s="23"/>
      <c r="K680" s="24"/>
      <c r="L680" s="24"/>
      <c r="N680" s="25"/>
      <c r="O680" s="25"/>
      <c r="P680" s="25"/>
      <c r="Q680" s="25"/>
      <c r="R680" s="25"/>
      <c r="S680" s="25"/>
      <c r="T680" s="25"/>
      <c r="U680" s="26"/>
      <c r="V680" s="27"/>
      <c r="W680" s="27"/>
      <c r="X680" s="27"/>
      <c r="Y680" s="27"/>
      <c r="Z680" s="27"/>
      <c r="AA680" s="27"/>
      <c r="AB680" s="27"/>
      <c r="AC680" s="27"/>
      <c r="AD680" s="27"/>
    </row>
    <row r="681" ht="15.75" customHeight="1">
      <c r="G681" s="23"/>
      <c r="K681" s="24"/>
      <c r="L681" s="24"/>
      <c r="N681" s="25"/>
      <c r="O681" s="25"/>
      <c r="P681" s="25"/>
      <c r="Q681" s="25"/>
      <c r="R681" s="25"/>
      <c r="S681" s="25"/>
      <c r="T681" s="25"/>
      <c r="U681" s="26"/>
      <c r="V681" s="27"/>
      <c r="W681" s="27"/>
      <c r="X681" s="27"/>
      <c r="Y681" s="27"/>
      <c r="Z681" s="27"/>
      <c r="AA681" s="27"/>
      <c r="AB681" s="27"/>
      <c r="AC681" s="27"/>
      <c r="AD681" s="27"/>
    </row>
    <row r="682" ht="15.75" customHeight="1">
      <c r="G682" s="23"/>
      <c r="K682" s="24"/>
      <c r="L682" s="24"/>
      <c r="N682" s="25"/>
      <c r="O682" s="25"/>
      <c r="P682" s="25"/>
      <c r="Q682" s="25"/>
      <c r="R682" s="25"/>
      <c r="S682" s="25"/>
      <c r="T682" s="25"/>
      <c r="U682" s="26"/>
      <c r="V682" s="27"/>
      <c r="W682" s="27"/>
      <c r="X682" s="27"/>
      <c r="Y682" s="27"/>
      <c r="Z682" s="27"/>
      <c r="AA682" s="27"/>
      <c r="AB682" s="27"/>
      <c r="AC682" s="27"/>
      <c r="AD682" s="27"/>
    </row>
    <row r="683" ht="15.75" customHeight="1">
      <c r="G683" s="23"/>
      <c r="K683" s="24"/>
      <c r="L683" s="24"/>
      <c r="N683" s="25"/>
      <c r="O683" s="25"/>
      <c r="P683" s="25"/>
      <c r="Q683" s="25"/>
      <c r="R683" s="25"/>
      <c r="S683" s="25"/>
      <c r="T683" s="25"/>
      <c r="U683" s="26"/>
      <c r="V683" s="27"/>
      <c r="W683" s="27"/>
      <c r="X683" s="27"/>
      <c r="Y683" s="27"/>
      <c r="Z683" s="27"/>
      <c r="AA683" s="27"/>
      <c r="AB683" s="27"/>
      <c r="AC683" s="27"/>
      <c r="AD683" s="27"/>
    </row>
    <row r="684" ht="15.75" customHeight="1">
      <c r="G684" s="23"/>
      <c r="K684" s="24"/>
      <c r="L684" s="24"/>
      <c r="N684" s="25"/>
      <c r="O684" s="25"/>
      <c r="P684" s="25"/>
      <c r="Q684" s="25"/>
      <c r="R684" s="25"/>
      <c r="S684" s="25"/>
      <c r="T684" s="25"/>
      <c r="U684" s="26"/>
      <c r="V684" s="27"/>
      <c r="W684" s="27"/>
      <c r="X684" s="27"/>
      <c r="Y684" s="27"/>
      <c r="Z684" s="27"/>
      <c r="AA684" s="27"/>
      <c r="AB684" s="27"/>
      <c r="AC684" s="27"/>
      <c r="AD684" s="27"/>
    </row>
    <row r="685" ht="15.75" customHeight="1">
      <c r="G685" s="23"/>
      <c r="K685" s="24"/>
      <c r="L685" s="24"/>
      <c r="N685" s="25"/>
      <c r="O685" s="25"/>
      <c r="P685" s="25"/>
      <c r="Q685" s="25"/>
      <c r="R685" s="25"/>
      <c r="S685" s="25"/>
      <c r="T685" s="25"/>
      <c r="U685" s="26"/>
      <c r="V685" s="27"/>
      <c r="W685" s="27"/>
      <c r="X685" s="27"/>
      <c r="Y685" s="27"/>
      <c r="Z685" s="27"/>
      <c r="AA685" s="27"/>
      <c r="AB685" s="27"/>
      <c r="AC685" s="27"/>
      <c r="AD685" s="27"/>
    </row>
    <row r="686" ht="15.75" customHeight="1">
      <c r="G686" s="23"/>
      <c r="K686" s="24"/>
      <c r="L686" s="24"/>
      <c r="N686" s="25"/>
      <c r="O686" s="25"/>
      <c r="P686" s="25"/>
      <c r="Q686" s="25"/>
      <c r="R686" s="25"/>
      <c r="S686" s="25"/>
      <c r="T686" s="25"/>
      <c r="U686" s="26"/>
      <c r="V686" s="27"/>
      <c r="W686" s="27"/>
      <c r="X686" s="27"/>
      <c r="Y686" s="27"/>
      <c r="Z686" s="27"/>
      <c r="AA686" s="27"/>
      <c r="AB686" s="27"/>
      <c r="AC686" s="27"/>
      <c r="AD686" s="27"/>
    </row>
    <row r="687" ht="15.75" customHeight="1">
      <c r="G687" s="23"/>
      <c r="K687" s="24"/>
      <c r="L687" s="24"/>
      <c r="N687" s="25"/>
      <c r="O687" s="25"/>
      <c r="P687" s="25"/>
      <c r="Q687" s="25"/>
      <c r="R687" s="25"/>
      <c r="S687" s="25"/>
      <c r="T687" s="25"/>
      <c r="U687" s="26"/>
      <c r="V687" s="27"/>
      <c r="W687" s="27"/>
      <c r="X687" s="27"/>
      <c r="Y687" s="27"/>
      <c r="Z687" s="27"/>
      <c r="AA687" s="27"/>
      <c r="AB687" s="27"/>
      <c r="AC687" s="27"/>
      <c r="AD687" s="27"/>
    </row>
    <row r="688" ht="15.75" customHeight="1">
      <c r="G688" s="23"/>
      <c r="K688" s="24"/>
      <c r="L688" s="24"/>
      <c r="N688" s="25"/>
      <c r="O688" s="25"/>
      <c r="P688" s="25"/>
      <c r="Q688" s="25"/>
      <c r="R688" s="25"/>
      <c r="S688" s="25"/>
      <c r="T688" s="25"/>
      <c r="U688" s="26"/>
      <c r="V688" s="27"/>
      <c r="W688" s="27"/>
      <c r="X688" s="27"/>
      <c r="Y688" s="27"/>
      <c r="Z688" s="27"/>
      <c r="AA688" s="27"/>
      <c r="AB688" s="27"/>
      <c r="AC688" s="27"/>
      <c r="AD688" s="27"/>
    </row>
    <row r="689" ht="15.75" customHeight="1">
      <c r="G689" s="23"/>
      <c r="K689" s="24"/>
      <c r="L689" s="24"/>
      <c r="N689" s="25"/>
      <c r="O689" s="25"/>
      <c r="P689" s="25"/>
      <c r="Q689" s="25"/>
      <c r="R689" s="25"/>
      <c r="S689" s="25"/>
      <c r="T689" s="25"/>
      <c r="U689" s="26"/>
      <c r="V689" s="27"/>
      <c r="W689" s="27"/>
      <c r="X689" s="27"/>
      <c r="Y689" s="27"/>
      <c r="Z689" s="27"/>
      <c r="AA689" s="27"/>
      <c r="AB689" s="27"/>
      <c r="AC689" s="27"/>
      <c r="AD689" s="27"/>
    </row>
    <row r="690" ht="15.75" customHeight="1">
      <c r="G690" s="23"/>
      <c r="K690" s="24"/>
      <c r="L690" s="24"/>
      <c r="N690" s="25"/>
      <c r="O690" s="25"/>
      <c r="P690" s="25"/>
      <c r="Q690" s="25"/>
      <c r="R690" s="25"/>
      <c r="S690" s="25"/>
      <c r="T690" s="25"/>
      <c r="U690" s="26"/>
      <c r="V690" s="27"/>
      <c r="W690" s="27"/>
      <c r="X690" s="27"/>
      <c r="Y690" s="27"/>
      <c r="Z690" s="27"/>
      <c r="AA690" s="27"/>
      <c r="AB690" s="27"/>
      <c r="AC690" s="27"/>
      <c r="AD690" s="27"/>
    </row>
    <row r="691" ht="15.75" customHeight="1">
      <c r="G691" s="23"/>
      <c r="K691" s="24"/>
      <c r="L691" s="24"/>
      <c r="N691" s="25"/>
      <c r="O691" s="25"/>
      <c r="P691" s="25"/>
      <c r="Q691" s="25"/>
      <c r="R691" s="25"/>
      <c r="S691" s="25"/>
      <c r="T691" s="25"/>
      <c r="U691" s="26"/>
      <c r="V691" s="27"/>
      <c r="W691" s="27"/>
      <c r="X691" s="27"/>
      <c r="Y691" s="27"/>
      <c r="Z691" s="27"/>
      <c r="AA691" s="27"/>
      <c r="AB691" s="27"/>
      <c r="AC691" s="27"/>
      <c r="AD691" s="27"/>
    </row>
    <row r="692" ht="15.75" customHeight="1">
      <c r="G692" s="23"/>
      <c r="K692" s="24"/>
      <c r="L692" s="24"/>
      <c r="N692" s="25"/>
      <c r="O692" s="25"/>
      <c r="P692" s="25"/>
      <c r="Q692" s="25"/>
      <c r="R692" s="25"/>
      <c r="S692" s="25"/>
      <c r="T692" s="25"/>
      <c r="U692" s="26"/>
      <c r="V692" s="27"/>
      <c r="W692" s="27"/>
      <c r="X692" s="27"/>
      <c r="Y692" s="27"/>
      <c r="Z692" s="27"/>
      <c r="AA692" s="27"/>
      <c r="AB692" s="27"/>
      <c r="AC692" s="27"/>
      <c r="AD692" s="27"/>
    </row>
    <row r="693" ht="15.75" customHeight="1">
      <c r="G693" s="23"/>
      <c r="K693" s="24"/>
      <c r="L693" s="24"/>
      <c r="N693" s="25"/>
      <c r="O693" s="25"/>
      <c r="P693" s="25"/>
      <c r="Q693" s="25"/>
      <c r="R693" s="25"/>
      <c r="S693" s="25"/>
      <c r="T693" s="25"/>
      <c r="U693" s="26"/>
      <c r="V693" s="27"/>
      <c r="W693" s="27"/>
      <c r="X693" s="27"/>
      <c r="Y693" s="27"/>
      <c r="Z693" s="27"/>
      <c r="AA693" s="27"/>
      <c r="AB693" s="27"/>
      <c r="AC693" s="27"/>
      <c r="AD693" s="27"/>
    </row>
    <row r="694" ht="15.75" customHeight="1">
      <c r="G694" s="23"/>
      <c r="K694" s="24"/>
      <c r="L694" s="24"/>
      <c r="N694" s="25"/>
      <c r="O694" s="25"/>
      <c r="P694" s="25"/>
      <c r="Q694" s="25"/>
      <c r="R694" s="25"/>
      <c r="S694" s="25"/>
      <c r="T694" s="25"/>
      <c r="U694" s="26"/>
      <c r="V694" s="27"/>
      <c r="W694" s="27"/>
      <c r="X694" s="27"/>
      <c r="Y694" s="27"/>
      <c r="Z694" s="27"/>
      <c r="AA694" s="27"/>
      <c r="AB694" s="27"/>
      <c r="AC694" s="27"/>
      <c r="AD694" s="27"/>
    </row>
    <row r="695" ht="15.75" customHeight="1">
      <c r="G695" s="23"/>
      <c r="K695" s="24"/>
      <c r="L695" s="24"/>
      <c r="N695" s="25"/>
      <c r="O695" s="25"/>
      <c r="P695" s="25"/>
      <c r="Q695" s="25"/>
      <c r="R695" s="25"/>
      <c r="S695" s="25"/>
      <c r="T695" s="25"/>
      <c r="U695" s="26"/>
      <c r="V695" s="27"/>
      <c r="W695" s="27"/>
      <c r="X695" s="27"/>
      <c r="Y695" s="27"/>
      <c r="Z695" s="27"/>
      <c r="AA695" s="27"/>
      <c r="AB695" s="27"/>
      <c r="AC695" s="27"/>
      <c r="AD695" s="27"/>
    </row>
    <row r="696" ht="15.75" customHeight="1">
      <c r="G696" s="23"/>
      <c r="K696" s="24"/>
      <c r="L696" s="24"/>
      <c r="N696" s="25"/>
      <c r="O696" s="25"/>
      <c r="P696" s="25"/>
      <c r="Q696" s="25"/>
      <c r="R696" s="25"/>
      <c r="S696" s="25"/>
      <c r="T696" s="25"/>
      <c r="U696" s="26"/>
      <c r="V696" s="27"/>
      <c r="W696" s="27"/>
      <c r="X696" s="27"/>
      <c r="Y696" s="27"/>
      <c r="Z696" s="27"/>
      <c r="AA696" s="27"/>
      <c r="AB696" s="27"/>
      <c r="AC696" s="27"/>
      <c r="AD696" s="27"/>
    </row>
    <row r="697" ht="15.75" customHeight="1">
      <c r="G697" s="23"/>
      <c r="K697" s="24"/>
      <c r="L697" s="24"/>
      <c r="N697" s="25"/>
      <c r="O697" s="25"/>
      <c r="P697" s="25"/>
      <c r="Q697" s="25"/>
      <c r="R697" s="25"/>
      <c r="S697" s="25"/>
      <c r="T697" s="25"/>
      <c r="U697" s="26"/>
      <c r="V697" s="27"/>
      <c r="W697" s="27"/>
      <c r="X697" s="27"/>
      <c r="Y697" s="27"/>
      <c r="Z697" s="27"/>
      <c r="AA697" s="27"/>
      <c r="AB697" s="27"/>
      <c r="AC697" s="27"/>
      <c r="AD697" s="27"/>
    </row>
    <row r="698" ht="15.75" customHeight="1">
      <c r="G698" s="23"/>
      <c r="K698" s="24"/>
      <c r="L698" s="24"/>
      <c r="N698" s="25"/>
      <c r="O698" s="25"/>
      <c r="P698" s="25"/>
      <c r="Q698" s="25"/>
      <c r="R698" s="25"/>
      <c r="S698" s="25"/>
      <c r="T698" s="25"/>
      <c r="U698" s="26"/>
      <c r="V698" s="27"/>
      <c r="W698" s="27"/>
      <c r="X698" s="27"/>
      <c r="Y698" s="27"/>
      <c r="Z698" s="27"/>
      <c r="AA698" s="27"/>
      <c r="AB698" s="27"/>
      <c r="AC698" s="27"/>
      <c r="AD698" s="27"/>
    </row>
    <row r="699" ht="15.75" customHeight="1">
      <c r="G699" s="23"/>
      <c r="K699" s="24"/>
      <c r="L699" s="24"/>
      <c r="N699" s="25"/>
      <c r="O699" s="25"/>
      <c r="P699" s="25"/>
      <c r="Q699" s="25"/>
      <c r="R699" s="25"/>
      <c r="S699" s="25"/>
      <c r="T699" s="25"/>
      <c r="U699" s="26"/>
      <c r="V699" s="27"/>
      <c r="W699" s="27"/>
      <c r="X699" s="27"/>
      <c r="Y699" s="27"/>
      <c r="Z699" s="27"/>
      <c r="AA699" s="27"/>
      <c r="AB699" s="27"/>
      <c r="AC699" s="27"/>
      <c r="AD699" s="27"/>
    </row>
    <row r="700" ht="15.75" customHeight="1">
      <c r="G700" s="23"/>
      <c r="K700" s="24"/>
      <c r="L700" s="24"/>
      <c r="N700" s="25"/>
      <c r="O700" s="25"/>
      <c r="P700" s="25"/>
      <c r="Q700" s="25"/>
      <c r="R700" s="25"/>
      <c r="S700" s="25"/>
      <c r="T700" s="25"/>
      <c r="U700" s="26"/>
      <c r="V700" s="27"/>
      <c r="W700" s="27"/>
      <c r="X700" s="27"/>
      <c r="Y700" s="27"/>
      <c r="Z700" s="27"/>
      <c r="AA700" s="27"/>
      <c r="AB700" s="27"/>
      <c r="AC700" s="27"/>
      <c r="AD700" s="27"/>
    </row>
    <row r="701" ht="15.75" customHeight="1">
      <c r="G701" s="23"/>
      <c r="K701" s="24"/>
      <c r="L701" s="24"/>
      <c r="N701" s="25"/>
      <c r="O701" s="25"/>
      <c r="P701" s="25"/>
      <c r="Q701" s="25"/>
      <c r="R701" s="25"/>
      <c r="S701" s="25"/>
      <c r="T701" s="25"/>
      <c r="U701" s="26"/>
      <c r="V701" s="27"/>
      <c r="W701" s="27"/>
      <c r="X701" s="27"/>
      <c r="Y701" s="27"/>
      <c r="Z701" s="27"/>
      <c r="AA701" s="27"/>
      <c r="AB701" s="27"/>
      <c r="AC701" s="27"/>
      <c r="AD701" s="27"/>
    </row>
    <row r="702" ht="15.75" customHeight="1">
      <c r="G702" s="23"/>
      <c r="K702" s="24"/>
      <c r="L702" s="24"/>
      <c r="N702" s="25"/>
      <c r="O702" s="25"/>
      <c r="P702" s="25"/>
      <c r="Q702" s="25"/>
      <c r="R702" s="25"/>
      <c r="S702" s="25"/>
      <c r="T702" s="25"/>
      <c r="U702" s="26"/>
      <c r="V702" s="27"/>
      <c r="W702" s="27"/>
      <c r="X702" s="27"/>
      <c r="Y702" s="27"/>
      <c r="Z702" s="27"/>
      <c r="AA702" s="27"/>
      <c r="AB702" s="27"/>
      <c r="AC702" s="27"/>
      <c r="AD702" s="27"/>
    </row>
    <row r="703" ht="15.75" customHeight="1">
      <c r="G703" s="23"/>
      <c r="K703" s="24"/>
      <c r="L703" s="24"/>
      <c r="N703" s="25"/>
      <c r="O703" s="25"/>
      <c r="P703" s="25"/>
      <c r="Q703" s="25"/>
      <c r="R703" s="25"/>
      <c r="S703" s="25"/>
      <c r="T703" s="25"/>
      <c r="U703" s="26"/>
      <c r="V703" s="27"/>
      <c r="W703" s="27"/>
      <c r="X703" s="27"/>
      <c r="Y703" s="27"/>
      <c r="Z703" s="27"/>
      <c r="AA703" s="27"/>
      <c r="AB703" s="27"/>
      <c r="AC703" s="27"/>
      <c r="AD703" s="27"/>
    </row>
    <row r="704" ht="15.75" customHeight="1">
      <c r="G704" s="23"/>
      <c r="K704" s="24"/>
      <c r="L704" s="24"/>
      <c r="N704" s="25"/>
      <c r="O704" s="25"/>
      <c r="P704" s="25"/>
      <c r="Q704" s="25"/>
      <c r="R704" s="25"/>
      <c r="S704" s="25"/>
      <c r="T704" s="25"/>
      <c r="U704" s="26"/>
      <c r="V704" s="27"/>
      <c r="W704" s="27"/>
      <c r="X704" s="27"/>
      <c r="Y704" s="27"/>
      <c r="Z704" s="27"/>
      <c r="AA704" s="27"/>
      <c r="AB704" s="27"/>
      <c r="AC704" s="27"/>
      <c r="AD704" s="27"/>
    </row>
    <row r="705" ht="15.75" customHeight="1">
      <c r="G705" s="23"/>
      <c r="K705" s="24"/>
      <c r="L705" s="24"/>
      <c r="N705" s="25"/>
      <c r="O705" s="25"/>
      <c r="P705" s="25"/>
      <c r="Q705" s="25"/>
      <c r="R705" s="25"/>
      <c r="S705" s="25"/>
      <c r="T705" s="25"/>
      <c r="U705" s="26"/>
      <c r="V705" s="27"/>
      <c r="W705" s="27"/>
      <c r="X705" s="27"/>
      <c r="Y705" s="27"/>
      <c r="Z705" s="27"/>
      <c r="AA705" s="27"/>
      <c r="AB705" s="27"/>
      <c r="AC705" s="27"/>
      <c r="AD705" s="27"/>
    </row>
    <row r="706" ht="15.75" customHeight="1">
      <c r="G706" s="23"/>
      <c r="K706" s="24"/>
      <c r="L706" s="24"/>
      <c r="N706" s="25"/>
      <c r="O706" s="25"/>
      <c r="P706" s="25"/>
      <c r="Q706" s="25"/>
      <c r="R706" s="25"/>
      <c r="S706" s="25"/>
      <c r="T706" s="25"/>
      <c r="U706" s="26"/>
      <c r="V706" s="27"/>
      <c r="W706" s="27"/>
      <c r="X706" s="27"/>
      <c r="Y706" s="27"/>
      <c r="Z706" s="27"/>
      <c r="AA706" s="27"/>
      <c r="AB706" s="27"/>
      <c r="AC706" s="27"/>
      <c r="AD706" s="27"/>
    </row>
    <row r="707" ht="15.75" customHeight="1">
      <c r="G707" s="23"/>
      <c r="K707" s="24"/>
      <c r="L707" s="24"/>
      <c r="N707" s="25"/>
      <c r="O707" s="25"/>
      <c r="P707" s="25"/>
      <c r="Q707" s="25"/>
      <c r="R707" s="25"/>
      <c r="S707" s="25"/>
      <c r="T707" s="25"/>
      <c r="U707" s="26"/>
      <c r="V707" s="27"/>
      <c r="W707" s="27"/>
      <c r="X707" s="27"/>
      <c r="Y707" s="27"/>
      <c r="Z707" s="27"/>
      <c r="AA707" s="27"/>
      <c r="AB707" s="27"/>
      <c r="AC707" s="27"/>
      <c r="AD707" s="27"/>
    </row>
    <row r="708" ht="15.75" customHeight="1">
      <c r="G708" s="23"/>
      <c r="K708" s="24"/>
      <c r="L708" s="24"/>
      <c r="N708" s="25"/>
      <c r="O708" s="25"/>
      <c r="P708" s="25"/>
      <c r="Q708" s="25"/>
      <c r="R708" s="25"/>
      <c r="S708" s="25"/>
      <c r="T708" s="25"/>
      <c r="U708" s="26"/>
      <c r="V708" s="27"/>
      <c r="W708" s="27"/>
      <c r="X708" s="27"/>
      <c r="Y708" s="27"/>
      <c r="Z708" s="27"/>
      <c r="AA708" s="27"/>
      <c r="AB708" s="27"/>
      <c r="AC708" s="27"/>
      <c r="AD708" s="27"/>
    </row>
    <row r="709" ht="15.75" customHeight="1">
      <c r="G709" s="23"/>
      <c r="K709" s="24"/>
      <c r="L709" s="24"/>
      <c r="N709" s="25"/>
      <c r="O709" s="25"/>
      <c r="P709" s="25"/>
      <c r="Q709" s="25"/>
      <c r="R709" s="25"/>
      <c r="S709" s="25"/>
      <c r="T709" s="25"/>
      <c r="U709" s="26"/>
      <c r="V709" s="27"/>
      <c r="W709" s="27"/>
      <c r="X709" s="27"/>
      <c r="Y709" s="27"/>
      <c r="Z709" s="27"/>
      <c r="AA709" s="27"/>
      <c r="AB709" s="27"/>
      <c r="AC709" s="27"/>
      <c r="AD709" s="27"/>
    </row>
    <row r="710" ht="15.75" customHeight="1">
      <c r="G710" s="23"/>
      <c r="K710" s="24"/>
      <c r="L710" s="24"/>
      <c r="N710" s="25"/>
      <c r="O710" s="25"/>
      <c r="P710" s="25"/>
      <c r="Q710" s="25"/>
      <c r="R710" s="25"/>
      <c r="S710" s="25"/>
      <c r="T710" s="25"/>
      <c r="U710" s="26"/>
      <c r="V710" s="27"/>
      <c r="W710" s="27"/>
      <c r="X710" s="27"/>
      <c r="Y710" s="27"/>
      <c r="Z710" s="27"/>
      <c r="AA710" s="27"/>
      <c r="AB710" s="27"/>
      <c r="AC710" s="27"/>
      <c r="AD710" s="27"/>
    </row>
    <row r="711" ht="15.75" customHeight="1">
      <c r="G711" s="23"/>
      <c r="K711" s="24"/>
      <c r="L711" s="24"/>
      <c r="N711" s="25"/>
      <c r="O711" s="25"/>
      <c r="P711" s="25"/>
      <c r="Q711" s="25"/>
      <c r="R711" s="25"/>
      <c r="S711" s="25"/>
      <c r="T711" s="25"/>
      <c r="U711" s="26"/>
      <c r="V711" s="27"/>
      <c r="W711" s="27"/>
      <c r="X711" s="27"/>
      <c r="Y711" s="27"/>
      <c r="Z711" s="27"/>
      <c r="AA711" s="27"/>
      <c r="AB711" s="27"/>
      <c r="AC711" s="27"/>
      <c r="AD711" s="27"/>
    </row>
    <row r="712" ht="15.75" customHeight="1">
      <c r="G712" s="23"/>
      <c r="K712" s="24"/>
      <c r="L712" s="24"/>
      <c r="N712" s="25"/>
      <c r="O712" s="25"/>
      <c r="P712" s="25"/>
      <c r="Q712" s="25"/>
      <c r="R712" s="25"/>
      <c r="S712" s="25"/>
      <c r="T712" s="25"/>
      <c r="U712" s="26"/>
      <c r="V712" s="27"/>
      <c r="W712" s="27"/>
      <c r="X712" s="27"/>
      <c r="Y712" s="27"/>
      <c r="Z712" s="27"/>
      <c r="AA712" s="27"/>
      <c r="AB712" s="27"/>
      <c r="AC712" s="27"/>
      <c r="AD712" s="27"/>
    </row>
    <row r="713" ht="15.75" customHeight="1">
      <c r="G713" s="23"/>
      <c r="K713" s="24"/>
      <c r="L713" s="24"/>
      <c r="N713" s="25"/>
      <c r="O713" s="25"/>
      <c r="P713" s="25"/>
      <c r="Q713" s="25"/>
      <c r="R713" s="25"/>
      <c r="S713" s="25"/>
      <c r="T713" s="25"/>
      <c r="U713" s="26"/>
      <c r="V713" s="27"/>
      <c r="W713" s="27"/>
      <c r="X713" s="27"/>
      <c r="Y713" s="27"/>
      <c r="Z713" s="27"/>
      <c r="AA713" s="27"/>
      <c r="AB713" s="27"/>
      <c r="AC713" s="27"/>
      <c r="AD713" s="27"/>
    </row>
    <row r="714" ht="15.75" customHeight="1">
      <c r="G714" s="23"/>
      <c r="K714" s="24"/>
      <c r="L714" s="24"/>
      <c r="N714" s="25"/>
      <c r="O714" s="25"/>
      <c r="P714" s="25"/>
      <c r="Q714" s="25"/>
      <c r="R714" s="25"/>
      <c r="S714" s="25"/>
      <c r="T714" s="25"/>
      <c r="U714" s="26"/>
      <c r="V714" s="27"/>
      <c r="W714" s="27"/>
      <c r="X714" s="27"/>
      <c r="Y714" s="27"/>
      <c r="Z714" s="27"/>
      <c r="AA714" s="27"/>
      <c r="AB714" s="27"/>
      <c r="AC714" s="27"/>
      <c r="AD714" s="27"/>
    </row>
    <row r="715" ht="15.75" customHeight="1">
      <c r="G715" s="23"/>
      <c r="K715" s="24"/>
      <c r="L715" s="24"/>
      <c r="N715" s="25"/>
      <c r="O715" s="25"/>
      <c r="P715" s="25"/>
      <c r="Q715" s="25"/>
      <c r="R715" s="25"/>
      <c r="S715" s="25"/>
      <c r="T715" s="25"/>
      <c r="U715" s="26"/>
      <c r="V715" s="27"/>
      <c r="W715" s="27"/>
      <c r="X715" s="27"/>
      <c r="Y715" s="27"/>
      <c r="Z715" s="27"/>
      <c r="AA715" s="27"/>
      <c r="AB715" s="27"/>
      <c r="AC715" s="27"/>
      <c r="AD715" s="27"/>
    </row>
    <row r="716" ht="15.75" customHeight="1">
      <c r="G716" s="23"/>
      <c r="K716" s="24"/>
      <c r="L716" s="24"/>
      <c r="N716" s="25"/>
      <c r="O716" s="25"/>
      <c r="P716" s="25"/>
      <c r="Q716" s="25"/>
      <c r="R716" s="25"/>
      <c r="S716" s="25"/>
      <c r="T716" s="25"/>
      <c r="U716" s="26"/>
      <c r="V716" s="27"/>
      <c r="W716" s="27"/>
      <c r="X716" s="27"/>
      <c r="Y716" s="27"/>
      <c r="Z716" s="27"/>
      <c r="AA716" s="27"/>
      <c r="AB716" s="27"/>
      <c r="AC716" s="27"/>
      <c r="AD716" s="27"/>
    </row>
    <row r="717" ht="15.75" customHeight="1">
      <c r="G717" s="23"/>
      <c r="K717" s="24"/>
      <c r="L717" s="24"/>
      <c r="N717" s="25"/>
      <c r="O717" s="25"/>
      <c r="P717" s="25"/>
      <c r="Q717" s="25"/>
      <c r="R717" s="25"/>
      <c r="S717" s="25"/>
      <c r="T717" s="25"/>
      <c r="U717" s="26"/>
      <c r="V717" s="27"/>
      <c r="W717" s="27"/>
      <c r="X717" s="27"/>
      <c r="Y717" s="27"/>
      <c r="Z717" s="27"/>
      <c r="AA717" s="27"/>
      <c r="AB717" s="27"/>
      <c r="AC717" s="27"/>
      <c r="AD717" s="27"/>
    </row>
    <row r="718" ht="15.75" customHeight="1">
      <c r="G718" s="23"/>
      <c r="K718" s="24"/>
      <c r="L718" s="24"/>
      <c r="N718" s="25"/>
      <c r="O718" s="25"/>
      <c r="P718" s="25"/>
      <c r="Q718" s="25"/>
      <c r="R718" s="25"/>
      <c r="S718" s="25"/>
      <c r="T718" s="25"/>
      <c r="U718" s="26"/>
      <c r="V718" s="27"/>
      <c r="W718" s="27"/>
      <c r="X718" s="27"/>
      <c r="Y718" s="27"/>
      <c r="Z718" s="27"/>
      <c r="AA718" s="27"/>
      <c r="AB718" s="27"/>
      <c r="AC718" s="27"/>
      <c r="AD718" s="27"/>
    </row>
    <row r="719" ht="15.75" customHeight="1">
      <c r="G719" s="23"/>
      <c r="K719" s="24"/>
      <c r="L719" s="24"/>
      <c r="N719" s="25"/>
      <c r="O719" s="25"/>
      <c r="P719" s="25"/>
      <c r="Q719" s="25"/>
      <c r="R719" s="25"/>
      <c r="S719" s="25"/>
      <c r="T719" s="25"/>
      <c r="U719" s="26"/>
      <c r="V719" s="27"/>
      <c r="W719" s="27"/>
      <c r="X719" s="27"/>
      <c r="Y719" s="27"/>
      <c r="Z719" s="27"/>
      <c r="AA719" s="27"/>
      <c r="AB719" s="27"/>
      <c r="AC719" s="27"/>
      <c r="AD719" s="27"/>
    </row>
    <row r="720" ht="15.75" customHeight="1">
      <c r="G720" s="23"/>
      <c r="K720" s="24"/>
      <c r="L720" s="24"/>
      <c r="N720" s="25"/>
      <c r="O720" s="25"/>
      <c r="P720" s="25"/>
      <c r="Q720" s="25"/>
      <c r="R720" s="25"/>
      <c r="S720" s="25"/>
      <c r="T720" s="25"/>
      <c r="U720" s="26"/>
      <c r="V720" s="27"/>
      <c r="W720" s="27"/>
      <c r="X720" s="27"/>
      <c r="Y720" s="27"/>
      <c r="Z720" s="27"/>
      <c r="AA720" s="27"/>
      <c r="AB720" s="27"/>
      <c r="AC720" s="27"/>
      <c r="AD720" s="27"/>
    </row>
    <row r="721" ht="15.75" customHeight="1">
      <c r="G721" s="23"/>
      <c r="K721" s="24"/>
      <c r="L721" s="24"/>
      <c r="N721" s="25"/>
      <c r="O721" s="25"/>
      <c r="P721" s="25"/>
      <c r="Q721" s="25"/>
      <c r="R721" s="25"/>
      <c r="S721" s="25"/>
      <c r="T721" s="25"/>
      <c r="U721" s="26"/>
      <c r="V721" s="27"/>
      <c r="W721" s="27"/>
      <c r="X721" s="27"/>
      <c r="Y721" s="27"/>
      <c r="Z721" s="27"/>
      <c r="AA721" s="27"/>
      <c r="AB721" s="27"/>
      <c r="AC721" s="27"/>
      <c r="AD721" s="27"/>
    </row>
    <row r="722" ht="15.75" customHeight="1">
      <c r="G722" s="23"/>
      <c r="K722" s="24"/>
      <c r="L722" s="24"/>
      <c r="N722" s="25"/>
      <c r="O722" s="25"/>
      <c r="P722" s="25"/>
      <c r="Q722" s="25"/>
      <c r="R722" s="25"/>
      <c r="S722" s="25"/>
      <c r="T722" s="25"/>
      <c r="U722" s="26"/>
      <c r="V722" s="27"/>
      <c r="W722" s="27"/>
      <c r="X722" s="27"/>
      <c r="Y722" s="27"/>
      <c r="Z722" s="27"/>
      <c r="AA722" s="27"/>
      <c r="AB722" s="27"/>
      <c r="AC722" s="27"/>
      <c r="AD722" s="27"/>
    </row>
    <row r="723" ht="15.75" customHeight="1">
      <c r="G723" s="23"/>
      <c r="K723" s="24"/>
      <c r="L723" s="24"/>
      <c r="N723" s="25"/>
      <c r="O723" s="25"/>
      <c r="P723" s="25"/>
      <c r="Q723" s="25"/>
      <c r="R723" s="25"/>
      <c r="S723" s="25"/>
      <c r="T723" s="25"/>
      <c r="U723" s="26"/>
      <c r="V723" s="27"/>
      <c r="W723" s="27"/>
      <c r="X723" s="27"/>
      <c r="Y723" s="27"/>
      <c r="Z723" s="27"/>
      <c r="AA723" s="27"/>
      <c r="AB723" s="27"/>
      <c r="AC723" s="27"/>
      <c r="AD723" s="27"/>
    </row>
    <row r="724" ht="15.75" customHeight="1">
      <c r="G724" s="23"/>
      <c r="K724" s="24"/>
      <c r="L724" s="24"/>
      <c r="N724" s="25"/>
      <c r="O724" s="25"/>
      <c r="P724" s="25"/>
      <c r="Q724" s="25"/>
      <c r="R724" s="25"/>
      <c r="S724" s="25"/>
      <c r="T724" s="25"/>
      <c r="U724" s="26"/>
      <c r="V724" s="27"/>
      <c r="W724" s="27"/>
      <c r="X724" s="27"/>
      <c r="Y724" s="27"/>
      <c r="Z724" s="27"/>
      <c r="AA724" s="27"/>
      <c r="AB724" s="27"/>
      <c r="AC724" s="27"/>
      <c r="AD724" s="27"/>
    </row>
    <row r="725" ht="15.75" customHeight="1">
      <c r="G725" s="23"/>
      <c r="K725" s="24"/>
      <c r="L725" s="24"/>
      <c r="N725" s="25"/>
      <c r="O725" s="25"/>
      <c r="P725" s="25"/>
      <c r="Q725" s="25"/>
      <c r="R725" s="25"/>
      <c r="S725" s="25"/>
      <c r="T725" s="25"/>
      <c r="U725" s="26"/>
      <c r="V725" s="27"/>
      <c r="W725" s="27"/>
      <c r="X725" s="27"/>
      <c r="Y725" s="27"/>
      <c r="Z725" s="27"/>
      <c r="AA725" s="27"/>
      <c r="AB725" s="27"/>
      <c r="AC725" s="27"/>
      <c r="AD725" s="27"/>
    </row>
    <row r="726" ht="15.75" customHeight="1">
      <c r="G726" s="23"/>
      <c r="K726" s="24"/>
      <c r="L726" s="24"/>
      <c r="N726" s="25"/>
      <c r="O726" s="25"/>
      <c r="P726" s="25"/>
      <c r="Q726" s="25"/>
      <c r="R726" s="25"/>
      <c r="S726" s="25"/>
      <c r="T726" s="25"/>
      <c r="U726" s="26"/>
      <c r="V726" s="27"/>
      <c r="W726" s="27"/>
      <c r="X726" s="27"/>
      <c r="Y726" s="27"/>
      <c r="Z726" s="27"/>
      <c r="AA726" s="27"/>
      <c r="AB726" s="27"/>
      <c r="AC726" s="27"/>
      <c r="AD726" s="27"/>
    </row>
    <row r="727" ht="15.75" customHeight="1">
      <c r="G727" s="23"/>
      <c r="K727" s="24"/>
      <c r="L727" s="24"/>
      <c r="N727" s="25"/>
      <c r="O727" s="25"/>
      <c r="P727" s="25"/>
      <c r="Q727" s="25"/>
      <c r="R727" s="25"/>
      <c r="S727" s="25"/>
      <c r="T727" s="25"/>
      <c r="U727" s="26"/>
      <c r="V727" s="27"/>
      <c r="W727" s="27"/>
      <c r="X727" s="27"/>
      <c r="Y727" s="27"/>
      <c r="Z727" s="27"/>
      <c r="AA727" s="27"/>
      <c r="AB727" s="27"/>
      <c r="AC727" s="27"/>
      <c r="AD727" s="27"/>
    </row>
    <row r="728" ht="15.75" customHeight="1">
      <c r="G728" s="23"/>
      <c r="K728" s="24"/>
      <c r="L728" s="24"/>
      <c r="N728" s="25"/>
      <c r="O728" s="25"/>
      <c r="P728" s="25"/>
      <c r="Q728" s="25"/>
      <c r="R728" s="25"/>
      <c r="S728" s="25"/>
      <c r="T728" s="25"/>
      <c r="U728" s="26"/>
      <c r="V728" s="27"/>
      <c r="W728" s="27"/>
      <c r="X728" s="27"/>
      <c r="Y728" s="27"/>
      <c r="Z728" s="27"/>
      <c r="AA728" s="27"/>
      <c r="AB728" s="27"/>
      <c r="AC728" s="27"/>
      <c r="AD728" s="27"/>
    </row>
    <row r="729" ht="15.75" customHeight="1">
      <c r="G729" s="23"/>
      <c r="K729" s="24"/>
      <c r="L729" s="24"/>
      <c r="N729" s="25"/>
      <c r="O729" s="25"/>
      <c r="P729" s="25"/>
      <c r="Q729" s="25"/>
      <c r="R729" s="25"/>
      <c r="S729" s="25"/>
      <c r="T729" s="25"/>
      <c r="U729" s="26"/>
      <c r="V729" s="27"/>
      <c r="W729" s="27"/>
      <c r="X729" s="27"/>
      <c r="Y729" s="27"/>
      <c r="Z729" s="27"/>
      <c r="AA729" s="27"/>
      <c r="AB729" s="27"/>
      <c r="AC729" s="27"/>
      <c r="AD729" s="27"/>
    </row>
    <row r="730" ht="15.75" customHeight="1">
      <c r="G730" s="23"/>
      <c r="K730" s="24"/>
      <c r="L730" s="24"/>
      <c r="N730" s="25"/>
      <c r="O730" s="25"/>
      <c r="P730" s="25"/>
      <c r="Q730" s="25"/>
      <c r="R730" s="25"/>
      <c r="S730" s="25"/>
      <c r="T730" s="25"/>
      <c r="U730" s="26"/>
      <c r="V730" s="27"/>
      <c r="W730" s="27"/>
      <c r="X730" s="27"/>
      <c r="Y730" s="27"/>
      <c r="Z730" s="27"/>
      <c r="AA730" s="27"/>
      <c r="AB730" s="27"/>
      <c r="AC730" s="27"/>
      <c r="AD730" s="27"/>
    </row>
    <row r="731" ht="15.75" customHeight="1">
      <c r="G731" s="23"/>
      <c r="K731" s="24"/>
      <c r="L731" s="24"/>
      <c r="N731" s="25"/>
      <c r="O731" s="25"/>
      <c r="P731" s="25"/>
      <c r="Q731" s="25"/>
      <c r="R731" s="25"/>
      <c r="S731" s="25"/>
      <c r="T731" s="25"/>
      <c r="U731" s="26"/>
      <c r="V731" s="27"/>
      <c r="W731" s="27"/>
      <c r="X731" s="27"/>
      <c r="Y731" s="27"/>
      <c r="Z731" s="27"/>
      <c r="AA731" s="27"/>
      <c r="AB731" s="27"/>
      <c r="AC731" s="27"/>
      <c r="AD731" s="27"/>
    </row>
    <row r="732" ht="15.75" customHeight="1">
      <c r="G732" s="23"/>
      <c r="K732" s="24"/>
      <c r="L732" s="24"/>
      <c r="N732" s="25"/>
      <c r="O732" s="25"/>
      <c r="P732" s="25"/>
      <c r="Q732" s="25"/>
      <c r="R732" s="25"/>
      <c r="S732" s="25"/>
      <c r="T732" s="25"/>
      <c r="U732" s="26"/>
      <c r="V732" s="27"/>
      <c r="W732" s="27"/>
      <c r="X732" s="27"/>
      <c r="Y732" s="27"/>
      <c r="Z732" s="27"/>
      <c r="AA732" s="27"/>
      <c r="AB732" s="27"/>
      <c r="AC732" s="27"/>
      <c r="AD732" s="27"/>
    </row>
    <row r="733" ht="15.75" customHeight="1">
      <c r="G733" s="23"/>
      <c r="K733" s="24"/>
      <c r="L733" s="24"/>
      <c r="N733" s="25"/>
      <c r="O733" s="25"/>
      <c r="P733" s="25"/>
      <c r="Q733" s="25"/>
      <c r="R733" s="25"/>
      <c r="S733" s="25"/>
      <c r="T733" s="25"/>
      <c r="U733" s="26"/>
      <c r="V733" s="27"/>
      <c r="W733" s="27"/>
      <c r="X733" s="27"/>
      <c r="Y733" s="27"/>
      <c r="Z733" s="27"/>
      <c r="AA733" s="27"/>
      <c r="AB733" s="27"/>
      <c r="AC733" s="27"/>
      <c r="AD733" s="27"/>
    </row>
    <row r="734" ht="15.75" customHeight="1">
      <c r="G734" s="23"/>
      <c r="K734" s="24"/>
      <c r="L734" s="24"/>
      <c r="N734" s="25"/>
      <c r="O734" s="25"/>
      <c r="P734" s="25"/>
      <c r="Q734" s="25"/>
      <c r="R734" s="25"/>
      <c r="S734" s="25"/>
      <c r="T734" s="25"/>
      <c r="U734" s="26"/>
      <c r="V734" s="27"/>
      <c r="W734" s="27"/>
      <c r="X734" s="27"/>
      <c r="Y734" s="27"/>
      <c r="Z734" s="27"/>
      <c r="AA734" s="27"/>
      <c r="AB734" s="27"/>
      <c r="AC734" s="27"/>
      <c r="AD734" s="27"/>
    </row>
    <row r="735" ht="15.75" customHeight="1">
      <c r="G735" s="23"/>
      <c r="K735" s="24"/>
      <c r="L735" s="24"/>
      <c r="N735" s="25"/>
      <c r="O735" s="25"/>
      <c r="P735" s="25"/>
      <c r="Q735" s="25"/>
      <c r="R735" s="25"/>
      <c r="S735" s="25"/>
      <c r="T735" s="25"/>
      <c r="U735" s="26"/>
      <c r="V735" s="27"/>
      <c r="W735" s="27"/>
      <c r="X735" s="27"/>
      <c r="Y735" s="27"/>
      <c r="Z735" s="27"/>
      <c r="AA735" s="27"/>
      <c r="AB735" s="27"/>
      <c r="AC735" s="27"/>
      <c r="AD735" s="27"/>
    </row>
    <row r="736" ht="15.75" customHeight="1">
      <c r="G736" s="23"/>
      <c r="K736" s="24"/>
      <c r="L736" s="24"/>
      <c r="N736" s="25"/>
      <c r="O736" s="25"/>
      <c r="P736" s="25"/>
      <c r="Q736" s="25"/>
      <c r="R736" s="25"/>
      <c r="S736" s="25"/>
      <c r="T736" s="25"/>
      <c r="U736" s="26"/>
      <c r="V736" s="27"/>
      <c r="W736" s="27"/>
      <c r="X736" s="27"/>
      <c r="Y736" s="27"/>
      <c r="Z736" s="27"/>
      <c r="AA736" s="27"/>
      <c r="AB736" s="27"/>
      <c r="AC736" s="27"/>
      <c r="AD736" s="27"/>
    </row>
    <row r="737" ht="15.75" customHeight="1">
      <c r="G737" s="23"/>
      <c r="K737" s="24"/>
      <c r="L737" s="24"/>
      <c r="N737" s="25"/>
      <c r="O737" s="25"/>
      <c r="P737" s="25"/>
      <c r="Q737" s="25"/>
      <c r="R737" s="25"/>
      <c r="S737" s="25"/>
      <c r="T737" s="25"/>
      <c r="U737" s="26"/>
      <c r="V737" s="27"/>
      <c r="W737" s="27"/>
      <c r="X737" s="27"/>
      <c r="Y737" s="27"/>
      <c r="Z737" s="27"/>
      <c r="AA737" s="27"/>
      <c r="AB737" s="27"/>
      <c r="AC737" s="27"/>
      <c r="AD737" s="27"/>
    </row>
    <row r="738" ht="15.75" customHeight="1">
      <c r="G738" s="23"/>
      <c r="K738" s="24"/>
      <c r="L738" s="24"/>
      <c r="N738" s="25"/>
      <c r="O738" s="25"/>
      <c r="P738" s="25"/>
      <c r="Q738" s="25"/>
      <c r="R738" s="25"/>
      <c r="S738" s="25"/>
      <c r="T738" s="25"/>
      <c r="U738" s="26"/>
      <c r="V738" s="27"/>
      <c r="W738" s="27"/>
      <c r="X738" s="27"/>
      <c r="Y738" s="27"/>
      <c r="Z738" s="27"/>
      <c r="AA738" s="27"/>
      <c r="AB738" s="27"/>
      <c r="AC738" s="27"/>
      <c r="AD738" s="27"/>
    </row>
    <row r="739" ht="15.75" customHeight="1">
      <c r="G739" s="23"/>
      <c r="K739" s="24"/>
      <c r="L739" s="24"/>
      <c r="N739" s="25"/>
      <c r="O739" s="25"/>
      <c r="P739" s="25"/>
      <c r="Q739" s="25"/>
      <c r="R739" s="25"/>
      <c r="S739" s="25"/>
      <c r="T739" s="25"/>
      <c r="U739" s="26"/>
      <c r="V739" s="27"/>
      <c r="W739" s="27"/>
      <c r="X739" s="27"/>
      <c r="Y739" s="27"/>
      <c r="Z739" s="27"/>
      <c r="AA739" s="27"/>
      <c r="AB739" s="27"/>
      <c r="AC739" s="27"/>
      <c r="AD739" s="27"/>
    </row>
    <row r="740" ht="15.75" customHeight="1">
      <c r="G740" s="23"/>
      <c r="K740" s="24"/>
      <c r="L740" s="24"/>
      <c r="N740" s="25"/>
      <c r="O740" s="25"/>
      <c r="P740" s="25"/>
      <c r="Q740" s="25"/>
      <c r="R740" s="25"/>
      <c r="S740" s="25"/>
      <c r="T740" s="25"/>
      <c r="U740" s="26"/>
      <c r="V740" s="27"/>
      <c r="W740" s="27"/>
      <c r="X740" s="27"/>
      <c r="Y740" s="27"/>
      <c r="Z740" s="27"/>
      <c r="AA740" s="27"/>
      <c r="AB740" s="27"/>
      <c r="AC740" s="27"/>
      <c r="AD740" s="27"/>
    </row>
    <row r="741" ht="15.75" customHeight="1">
      <c r="G741" s="23"/>
      <c r="K741" s="24"/>
      <c r="L741" s="24"/>
      <c r="N741" s="25"/>
      <c r="O741" s="25"/>
      <c r="P741" s="25"/>
      <c r="Q741" s="25"/>
      <c r="R741" s="25"/>
      <c r="S741" s="25"/>
      <c r="T741" s="25"/>
      <c r="U741" s="26"/>
      <c r="V741" s="27"/>
      <c r="W741" s="27"/>
      <c r="X741" s="27"/>
      <c r="Y741" s="27"/>
      <c r="Z741" s="27"/>
      <c r="AA741" s="27"/>
      <c r="AB741" s="27"/>
      <c r="AC741" s="27"/>
      <c r="AD741" s="27"/>
    </row>
    <row r="742" ht="15.75" customHeight="1">
      <c r="G742" s="23"/>
      <c r="K742" s="24"/>
      <c r="L742" s="24"/>
      <c r="N742" s="25"/>
      <c r="O742" s="25"/>
      <c r="P742" s="25"/>
      <c r="Q742" s="25"/>
      <c r="R742" s="25"/>
      <c r="S742" s="25"/>
      <c r="T742" s="25"/>
      <c r="U742" s="26"/>
      <c r="V742" s="27"/>
      <c r="W742" s="27"/>
      <c r="X742" s="27"/>
      <c r="Y742" s="27"/>
      <c r="Z742" s="27"/>
      <c r="AA742" s="27"/>
      <c r="AB742" s="27"/>
      <c r="AC742" s="27"/>
      <c r="AD742" s="27"/>
    </row>
    <row r="743" ht="15.75" customHeight="1">
      <c r="G743" s="23"/>
      <c r="K743" s="24"/>
      <c r="L743" s="24"/>
      <c r="N743" s="25"/>
      <c r="O743" s="25"/>
      <c r="P743" s="25"/>
      <c r="Q743" s="25"/>
      <c r="R743" s="25"/>
      <c r="S743" s="25"/>
      <c r="T743" s="25"/>
      <c r="U743" s="26"/>
      <c r="V743" s="27"/>
      <c r="W743" s="27"/>
      <c r="X743" s="27"/>
      <c r="Y743" s="27"/>
      <c r="Z743" s="27"/>
      <c r="AA743" s="27"/>
      <c r="AB743" s="27"/>
      <c r="AC743" s="27"/>
      <c r="AD743" s="27"/>
    </row>
    <row r="744" ht="15.75" customHeight="1">
      <c r="G744" s="23"/>
      <c r="K744" s="24"/>
      <c r="L744" s="24"/>
      <c r="N744" s="25"/>
      <c r="O744" s="25"/>
      <c r="P744" s="25"/>
      <c r="Q744" s="25"/>
      <c r="R744" s="25"/>
      <c r="S744" s="25"/>
      <c r="T744" s="25"/>
      <c r="U744" s="26"/>
      <c r="V744" s="27"/>
      <c r="W744" s="27"/>
      <c r="X744" s="27"/>
      <c r="Y744" s="27"/>
      <c r="Z744" s="27"/>
      <c r="AA744" s="27"/>
      <c r="AB744" s="27"/>
      <c r="AC744" s="27"/>
      <c r="AD744" s="27"/>
    </row>
    <row r="745" ht="15.75" customHeight="1">
      <c r="G745" s="23"/>
      <c r="K745" s="24"/>
      <c r="L745" s="24"/>
      <c r="N745" s="25"/>
      <c r="O745" s="25"/>
      <c r="P745" s="25"/>
      <c r="Q745" s="25"/>
      <c r="R745" s="25"/>
      <c r="S745" s="25"/>
      <c r="T745" s="25"/>
      <c r="U745" s="26"/>
      <c r="V745" s="27"/>
      <c r="W745" s="27"/>
      <c r="X745" s="27"/>
      <c r="Y745" s="27"/>
      <c r="Z745" s="27"/>
      <c r="AA745" s="27"/>
      <c r="AB745" s="27"/>
      <c r="AC745" s="27"/>
      <c r="AD745" s="27"/>
    </row>
    <row r="746" ht="15.75" customHeight="1">
      <c r="G746" s="23"/>
      <c r="K746" s="24"/>
      <c r="L746" s="24"/>
      <c r="N746" s="25"/>
      <c r="O746" s="25"/>
      <c r="P746" s="25"/>
      <c r="Q746" s="25"/>
      <c r="R746" s="25"/>
      <c r="S746" s="25"/>
      <c r="T746" s="25"/>
      <c r="U746" s="26"/>
      <c r="V746" s="27"/>
      <c r="W746" s="27"/>
      <c r="X746" s="27"/>
      <c r="Y746" s="27"/>
      <c r="Z746" s="27"/>
      <c r="AA746" s="27"/>
      <c r="AB746" s="27"/>
      <c r="AC746" s="27"/>
      <c r="AD746" s="27"/>
    </row>
    <row r="747" ht="15.75" customHeight="1">
      <c r="G747" s="23"/>
      <c r="K747" s="24"/>
      <c r="L747" s="24"/>
      <c r="N747" s="25"/>
      <c r="O747" s="25"/>
      <c r="P747" s="25"/>
      <c r="Q747" s="25"/>
      <c r="R747" s="25"/>
      <c r="S747" s="25"/>
      <c r="T747" s="25"/>
      <c r="U747" s="26"/>
      <c r="V747" s="27"/>
      <c r="W747" s="27"/>
      <c r="X747" s="27"/>
      <c r="Y747" s="27"/>
      <c r="Z747" s="27"/>
      <c r="AA747" s="27"/>
      <c r="AB747" s="27"/>
      <c r="AC747" s="27"/>
      <c r="AD747" s="27"/>
    </row>
    <row r="748" ht="15.75" customHeight="1">
      <c r="G748" s="23"/>
      <c r="K748" s="24"/>
      <c r="L748" s="24"/>
      <c r="N748" s="25"/>
      <c r="O748" s="25"/>
      <c r="P748" s="25"/>
      <c r="Q748" s="25"/>
      <c r="R748" s="25"/>
      <c r="S748" s="25"/>
      <c r="T748" s="25"/>
      <c r="U748" s="26"/>
      <c r="V748" s="27"/>
      <c r="W748" s="27"/>
      <c r="X748" s="27"/>
      <c r="Y748" s="27"/>
      <c r="Z748" s="27"/>
      <c r="AA748" s="27"/>
      <c r="AB748" s="27"/>
      <c r="AC748" s="27"/>
      <c r="AD748" s="27"/>
    </row>
    <row r="749" ht="15.75" customHeight="1">
      <c r="G749" s="23"/>
      <c r="K749" s="24"/>
      <c r="L749" s="24"/>
      <c r="N749" s="25"/>
      <c r="O749" s="25"/>
      <c r="P749" s="25"/>
      <c r="Q749" s="25"/>
      <c r="R749" s="25"/>
      <c r="S749" s="25"/>
      <c r="T749" s="25"/>
      <c r="U749" s="26"/>
      <c r="V749" s="27"/>
      <c r="W749" s="27"/>
      <c r="X749" s="27"/>
      <c r="Y749" s="27"/>
      <c r="Z749" s="27"/>
      <c r="AA749" s="27"/>
      <c r="AB749" s="27"/>
      <c r="AC749" s="27"/>
      <c r="AD749" s="27"/>
    </row>
    <row r="750" ht="15.75" customHeight="1">
      <c r="G750" s="23"/>
      <c r="K750" s="24"/>
      <c r="L750" s="24"/>
      <c r="N750" s="25"/>
      <c r="O750" s="25"/>
      <c r="P750" s="25"/>
      <c r="Q750" s="25"/>
      <c r="R750" s="25"/>
      <c r="S750" s="25"/>
      <c r="T750" s="25"/>
      <c r="U750" s="26"/>
      <c r="V750" s="27"/>
      <c r="W750" s="27"/>
      <c r="X750" s="27"/>
      <c r="Y750" s="27"/>
      <c r="Z750" s="27"/>
      <c r="AA750" s="27"/>
      <c r="AB750" s="27"/>
      <c r="AC750" s="27"/>
      <c r="AD750" s="27"/>
    </row>
    <row r="751" ht="15.75" customHeight="1">
      <c r="G751" s="23"/>
      <c r="K751" s="24"/>
      <c r="L751" s="24"/>
      <c r="N751" s="25"/>
      <c r="O751" s="25"/>
      <c r="P751" s="25"/>
      <c r="Q751" s="25"/>
      <c r="R751" s="25"/>
      <c r="S751" s="25"/>
      <c r="T751" s="25"/>
      <c r="U751" s="26"/>
      <c r="V751" s="27"/>
      <c r="W751" s="27"/>
      <c r="X751" s="27"/>
      <c r="Y751" s="27"/>
      <c r="Z751" s="27"/>
      <c r="AA751" s="27"/>
      <c r="AB751" s="27"/>
      <c r="AC751" s="27"/>
      <c r="AD751" s="27"/>
    </row>
    <row r="752" ht="15.75" customHeight="1">
      <c r="G752" s="23"/>
      <c r="K752" s="24"/>
      <c r="L752" s="24"/>
      <c r="N752" s="25"/>
      <c r="O752" s="25"/>
      <c r="P752" s="25"/>
      <c r="Q752" s="25"/>
      <c r="R752" s="25"/>
      <c r="S752" s="25"/>
      <c r="T752" s="25"/>
      <c r="U752" s="26"/>
      <c r="V752" s="27"/>
      <c r="W752" s="27"/>
      <c r="X752" s="27"/>
      <c r="Y752" s="27"/>
      <c r="Z752" s="27"/>
      <c r="AA752" s="27"/>
      <c r="AB752" s="27"/>
      <c r="AC752" s="27"/>
      <c r="AD752" s="27"/>
    </row>
    <row r="753" ht="15.75" customHeight="1">
      <c r="G753" s="23"/>
      <c r="K753" s="24"/>
      <c r="L753" s="24"/>
      <c r="N753" s="25"/>
      <c r="O753" s="25"/>
      <c r="P753" s="25"/>
      <c r="Q753" s="25"/>
      <c r="R753" s="25"/>
      <c r="S753" s="25"/>
      <c r="T753" s="25"/>
      <c r="U753" s="26"/>
      <c r="V753" s="27"/>
      <c r="W753" s="27"/>
      <c r="X753" s="27"/>
      <c r="Y753" s="27"/>
      <c r="Z753" s="27"/>
      <c r="AA753" s="27"/>
      <c r="AB753" s="27"/>
      <c r="AC753" s="27"/>
      <c r="AD753" s="27"/>
    </row>
    <row r="754" ht="15.75" customHeight="1">
      <c r="G754" s="23"/>
      <c r="K754" s="24"/>
      <c r="L754" s="24"/>
      <c r="N754" s="25"/>
      <c r="O754" s="25"/>
      <c r="P754" s="25"/>
      <c r="Q754" s="25"/>
      <c r="R754" s="25"/>
      <c r="S754" s="25"/>
      <c r="T754" s="25"/>
      <c r="U754" s="26"/>
      <c r="V754" s="27"/>
      <c r="W754" s="27"/>
      <c r="X754" s="27"/>
      <c r="Y754" s="27"/>
      <c r="Z754" s="27"/>
      <c r="AA754" s="27"/>
      <c r="AB754" s="27"/>
      <c r="AC754" s="27"/>
      <c r="AD754" s="27"/>
    </row>
    <row r="755" ht="15.75" customHeight="1">
      <c r="G755" s="23"/>
      <c r="K755" s="24"/>
      <c r="L755" s="24"/>
      <c r="N755" s="25"/>
      <c r="O755" s="25"/>
      <c r="P755" s="25"/>
      <c r="Q755" s="25"/>
      <c r="R755" s="25"/>
      <c r="S755" s="25"/>
      <c r="T755" s="25"/>
      <c r="U755" s="26"/>
      <c r="V755" s="27"/>
      <c r="W755" s="27"/>
      <c r="X755" s="27"/>
      <c r="Y755" s="27"/>
      <c r="Z755" s="27"/>
      <c r="AA755" s="27"/>
      <c r="AB755" s="27"/>
      <c r="AC755" s="27"/>
      <c r="AD755" s="27"/>
    </row>
    <row r="756" ht="15.75" customHeight="1">
      <c r="G756" s="23"/>
      <c r="K756" s="24"/>
      <c r="L756" s="24"/>
      <c r="N756" s="25"/>
      <c r="O756" s="25"/>
      <c r="P756" s="25"/>
      <c r="Q756" s="25"/>
      <c r="R756" s="25"/>
      <c r="S756" s="25"/>
      <c r="T756" s="25"/>
      <c r="U756" s="26"/>
      <c r="V756" s="27"/>
      <c r="W756" s="27"/>
      <c r="X756" s="27"/>
      <c r="Y756" s="27"/>
      <c r="Z756" s="27"/>
      <c r="AA756" s="27"/>
      <c r="AB756" s="27"/>
      <c r="AC756" s="27"/>
      <c r="AD756" s="27"/>
    </row>
    <row r="757" ht="15.75" customHeight="1">
      <c r="G757" s="23"/>
      <c r="K757" s="24"/>
      <c r="L757" s="24"/>
      <c r="N757" s="25"/>
      <c r="O757" s="25"/>
      <c r="P757" s="25"/>
      <c r="Q757" s="25"/>
      <c r="R757" s="25"/>
      <c r="S757" s="25"/>
      <c r="T757" s="25"/>
      <c r="U757" s="26"/>
      <c r="V757" s="27"/>
      <c r="W757" s="27"/>
      <c r="X757" s="27"/>
      <c r="Y757" s="27"/>
      <c r="Z757" s="27"/>
      <c r="AA757" s="27"/>
      <c r="AB757" s="27"/>
      <c r="AC757" s="27"/>
      <c r="AD757" s="27"/>
    </row>
    <row r="758" ht="15.75" customHeight="1">
      <c r="G758" s="23"/>
      <c r="K758" s="24"/>
      <c r="L758" s="24"/>
      <c r="N758" s="25"/>
      <c r="O758" s="25"/>
      <c r="P758" s="25"/>
      <c r="Q758" s="25"/>
      <c r="R758" s="25"/>
      <c r="S758" s="25"/>
      <c r="T758" s="25"/>
      <c r="U758" s="26"/>
      <c r="V758" s="27"/>
      <c r="W758" s="27"/>
      <c r="X758" s="27"/>
      <c r="Y758" s="27"/>
      <c r="Z758" s="27"/>
      <c r="AA758" s="27"/>
      <c r="AB758" s="27"/>
      <c r="AC758" s="27"/>
      <c r="AD758" s="27"/>
    </row>
    <row r="759" ht="15.75" customHeight="1">
      <c r="G759" s="23"/>
      <c r="K759" s="24"/>
      <c r="L759" s="24"/>
      <c r="N759" s="25"/>
      <c r="O759" s="25"/>
      <c r="P759" s="25"/>
      <c r="Q759" s="25"/>
      <c r="R759" s="25"/>
      <c r="S759" s="25"/>
      <c r="T759" s="25"/>
      <c r="U759" s="26"/>
      <c r="V759" s="27"/>
      <c r="W759" s="27"/>
      <c r="X759" s="27"/>
      <c r="Y759" s="27"/>
      <c r="Z759" s="27"/>
      <c r="AA759" s="27"/>
      <c r="AB759" s="27"/>
      <c r="AC759" s="27"/>
      <c r="AD759" s="27"/>
    </row>
    <row r="760" ht="15.75" customHeight="1">
      <c r="G760" s="23"/>
      <c r="K760" s="24"/>
      <c r="L760" s="24"/>
      <c r="N760" s="25"/>
      <c r="O760" s="25"/>
      <c r="P760" s="25"/>
      <c r="Q760" s="25"/>
      <c r="R760" s="25"/>
      <c r="S760" s="25"/>
      <c r="T760" s="25"/>
      <c r="U760" s="26"/>
      <c r="V760" s="27"/>
      <c r="W760" s="27"/>
      <c r="X760" s="27"/>
      <c r="Y760" s="27"/>
      <c r="Z760" s="27"/>
      <c r="AA760" s="27"/>
      <c r="AB760" s="27"/>
      <c r="AC760" s="27"/>
      <c r="AD760" s="27"/>
    </row>
    <row r="761" ht="15.75" customHeight="1">
      <c r="G761" s="23"/>
      <c r="K761" s="24"/>
      <c r="L761" s="24"/>
      <c r="N761" s="25"/>
      <c r="O761" s="25"/>
      <c r="P761" s="25"/>
      <c r="Q761" s="25"/>
      <c r="R761" s="25"/>
      <c r="S761" s="25"/>
      <c r="T761" s="25"/>
      <c r="U761" s="26"/>
      <c r="V761" s="27"/>
      <c r="W761" s="27"/>
      <c r="X761" s="27"/>
      <c r="Y761" s="27"/>
      <c r="Z761" s="27"/>
      <c r="AA761" s="27"/>
      <c r="AB761" s="27"/>
      <c r="AC761" s="27"/>
      <c r="AD761" s="27"/>
    </row>
    <row r="762" ht="15.75" customHeight="1">
      <c r="G762" s="23"/>
      <c r="K762" s="24"/>
      <c r="L762" s="24"/>
      <c r="N762" s="25"/>
      <c r="O762" s="25"/>
      <c r="P762" s="25"/>
      <c r="Q762" s="25"/>
      <c r="R762" s="25"/>
      <c r="S762" s="25"/>
      <c r="T762" s="25"/>
      <c r="U762" s="26"/>
      <c r="V762" s="27"/>
      <c r="W762" s="27"/>
      <c r="X762" s="27"/>
      <c r="Y762" s="27"/>
      <c r="Z762" s="27"/>
      <c r="AA762" s="27"/>
      <c r="AB762" s="27"/>
      <c r="AC762" s="27"/>
      <c r="AD762" s="27"/>
    </row>
    <row r="763" ht="15.75" customHeight="1">
      <c r="G763" s="23"/>
      <c r="K763" s="24"/>
      <c r="L763" s="24"/>
      <c r="N763" s="25"/>
      <c r="O763" s="25"/>
      <c r="P763" s="25"/>
      <c r="Q763" s="25"/>
      <c r="R763" s="25"/>
      <c r="S763" s="25"/>
      <c r="T763" s="25"/>
      <c r="U763" s="26"/>
      <c r="V763" s="27"/>
      <c r="W763" s="27"/>
      <c r="X763" s="27"/>
      <c r="Y763" s="27"/>
      <c r="Z763" s="27"/>
      <c r="AA763" s="27"/>
      <c r="AB763" s="27"/>
      <c r="AC763" s="27"/>
      <c r="AD763" s="27"/>
    </row>
    <row r="764" ht="15.75" customHeight="1">
      <c r="G764" s="23"/>
      <c r="K764" s="24"/>
      <c r="L764" s="24"/>
      <c r="N764" s="25"/>
      <c r="O764" s="25"/>
      <c r="P764" s="25"/>
      <c r="Q764" s="25"/>
      <c r="R764" s="25"/>
      <c r="S764" s="25"/>
      <c r="T764" s="25"/>
      <c r="U764" s="26"/>
      <c r="V764" s="27"/>
      <c r="W764" s="27"/>
      <c r="X764" s="27"/>
      <c r="Y764" s="27"/>
      <c r="Z764" s="27"/>
      <c r="AA764" s="27"/>
      <c r="AB764" s="27"/>
      <c r="AC764" s="27"/>
      <c r="AD764" s="27"/>
    </row>
    <row r="765" ht="15.75" customHeight="1">
      <c r="G765" s="23"/>
      <c r="K765" s="24"/>
      <c r="L765" s="24"/>
      <c r="N765" s="25"/>
      <c r="O765" s="25"/>
      <c r="P765" s="25"/>
      <c r="Q765" s="25"/>
      <c r="R765" s="25"/>
      <c r="S765" s="25"/>
      <c r="T765" s="25"/>
      <c r="U765" s="26"/>
      <c r="V765" s="27"/>
      <c r="W765" s="27"/>
      <c r="X765" s="27"/>
      <c r="Y765" s="27"/>
      <c r="Z765" s="27"/>
      <c r="AA765" s="27"/>
      <c r="AB765" s="27"/>
      <c r="AC765" s="27"/>
      <c r="AD765" s="27"/>
    </row>
    <row r="766" ht="15.75" customHeight="1">
      <c r="G766" s="23"/>
      <c r="K766" s="24"/>
      <c r="L766" s="24"/>
      <c r="N766" s="25"/>
      <c r="O766" s="25"/>
      <c r="P766" s="25"/>
      <c r="Q766" s="25"/>
      <c r="R766" s="25"/>
      <c r="S766" s="25"/>
      <c r="T766" s="25"/>
      <c r="U766" s="26"/>
      <c r="V766" s="27"/>
      <c r="W766" s="27"/>
      <c r="X766" s="27"/>
      <c r="Y766" s="27"/>
      <c r="Z766" s="27"/>
      <c r="AA766" s="27"/>
      <c r="AB766" s="27"/>
      <c r="AC766" s="27"/>
      <c r="AD766" s="27"/>
    </row>
    <row r="767" ht="15.75" customHeight="1">
      <c r="G767" s="23"/>
      <c r="K767" s="24"/>
      <c r="L767" s="24"/>
      <c r="N767" s="25"/>
      <c r="O767" s="25"/>
      <c r="P767" s="25"/>
      <c r="Q767" s="25"/>
      <c r="R767" s="25"/>
      <c r="S767" s="25"/>
      <c r="T767" s="25"/>
      <c r="U767" s="26"/>
      <c r="V767" s="27"/>
      <c r="W767" s="27"/>
      <c r="X767" s="27"/>
      <c r="Y767" s="27"/>
      <c r="Z767" s="27"/>
      <c r="AA767" s="27"/>
      <c r="AB767" s="27"/>
      <c r="AC767" s="27"/>
      <c r="AD767" s="27"/>
    </row>
    <row r="768" ht="15.75" customHeight="1">
      <c r="G768" s="23"/>
      <c r="K768" s="24"/>
      <c r="L768" s="24"/>
      <c r="N768" s="25"/>
      <c r="O768" s="25"/>
      <c r="P768" s="25"/>
      <c r="Q768" s="25"/>
      <c r="R768" s="25"/>
      <c r="S768" s="25"/>
      <c r="T768" s="25"/>
      <c r="U768" s="26"/>
      <c r="V768" s="27"/>
      <c r="W768" s="27"/>
      <c r="X768" s="27"/>
      <c r="Y768" s="27"/>
      <c r="Z768" s="27"/>
      <c r="AA768" s="27"/>
      <c r="AB768" s="27"/>
      <c r="AC768" s="27"/>
      <c r="AD768" s="27"/>
    </row>
    <row r="769" ht="15.75" customHeight="1">
      <c r="G769" s="23"/>
      <c r="K769" s="24"/>
      <c r="L769" s="24"/>
      <c r="N769" s="25"/>
      <c r="O769" s="25"/>
      <c r="P769" s="25"/>
      <c r="Q769" s="25"/>
      <c r="R769" s="25"/>
      <c r="S769" s="25"/>
      <c r="T769" s="25"/>
      <c r="U769" s="26"/>
      <c r="V769" s="27"/>
      <c r="W769" s="27"/>
      <c r="X769" s="27"/>
      <c r="Y769" s="27"/>
      <c r="Z769" s="27"/>
      <c r="AA769" s="27"/>
      <c r="AB769" s="27"/>
      <c r="AC769" s="27"/>
      <c r="AD769" s="27"/>
    </row>
    <row r="770" ht="15.75" customHeight="1">
      <c r="G770" s="23"/>
      <c r="K770" s="24"/>
      <c r="L770" s="24"/>
      <c r="N770" s="25"/>
      <c r="O770" s="25"/>
      <c r="P770" s="25"/>
      <c r="Q770" s="25"/>
      <c r="R770" s="25"/>
      <c r="S770" s="25"/>
      <c r="T770" s="25"/>
      <c r="U770" s="26"/>
      <c r="V770" s="27"/>
      <c r="W770" s="27"/>
      <c r="X770" s="27"/>
      <c r="Y770" s="27"/>
      <c r="Z770" s="27"/>
      <c r="AA770" s="27"/>
      <c r="AB770" s="27"/>
      <c r="AC770" s="27"/>
      <c r="AD770" s="27"/>
    </row>
    <row r="771" ht="15.75" customHeight="1">
      <c r="G771" s="23"/>
      <c r="K771" s="24"/>
      <c r="L771" s="24"/>
      <c r="N771" s="25"/>
      <c r="O771" s="25"/>
      <c r="P771" s="25"/>
      <c r="Q771" s="25"/>
      <c r="R771" s="25"/>
      <c r="S771" s="25"/>
      <c r="T771" s="25"/>
      <c r="U771" s="26"/>
      <c r="V771" s="27"/>
      <c r="W771" s="27"/>
      <c r="X771" s="27"/>
      <c r="Y771" s="27"/>
      <c r="Z771" s="27"/>
      <c r="AA771" s="27"/>
      <c r="AB771" s="27"/>
      <c r="AC771" s="27"/>
      <c r="AD771" s="27"/>
    </row>
    <row r="772" ht="15.75" customHeight="1">
      <c r="G772" s="23"/>
      <c r="K772" s="24"/>
      <c r="L772" s="24"/>
      <c r="N772" s="25"/>
      <c r="O772" s="25"/>
      <c r="P772" s="25"/>
      <c r="Q772" s="25"/>
      <c r="R772" s="25"/>
      <c r="S772" s="25"/>
      <c r="T772" s="25"/>
      <c r="U772" s="26"/>
      <c r="V772" s="27"/>
      <c r="W772" s="27"/>
      <c r="X772" s="27"/>
      <c r="Y772" s="27"/>
      <c r="Z772" s="27"/>
      <c r="AA772" s="27"/>
      <c r="AB772" s="27"/>
      <c r="AC772" s="27"/>
      <c r="AD772" s="27"/>
    </row>
    <row r="773" ht="15.75" customHeight="1">
      <c r="G773" s="23"/>
      <c r="K773" s="24"/>
      <c r="L773" s="24"/>
      <c r="N773" s="25"/>
      <c r="O773" s="25"/>
      <c r="P773" s="25"/>
      <c r="Q773" s="25"/>
      <c r="R773" s="25"/>
      <c r="S773" s="25"/>
      <c r="T773" s="25"/>
      <c r="U773" s="26"/>
      <c r="V773" s="27"/>
      <c r="W773" s="27"/>
      <c r="X773" s="27"/>
      <c r="Y773" s="27"/>
      <c r="Z773" s="27"/>
      <c r="AA773" s="27"/>
      <c r="AB773" s="27"/>
      <c r="AC773" s="27"/>
      <c r="AD773" s="27"/>
    </row>
    <row r="774" ht="15.75" customHeight="1">
      <c r="G774" s="23"/>
      <c r="K774" s="24"/>
      <c r="L774" s="24"/>
      <c r="N774" s="25"/>
      <c r="O774" s="25"/>
      <c r="P774" s="25"/>
      <c r="Q774" s="25"/>
      <c r="R774" s="25"/>
      <c r="S774" s="25"/>
      <c r="T774" s="25"/>
      <c r="U774" s="26"/>
      <c r="V774" s="27"/>
      <c r="W774" s="27"/>
      <c r="X774" s="27"/>
      <c r="Y774" s="27"/>
      <c r="Z774" s="27"/>
      <c r="AA774" s="27"/>
      <c r="AB774" s="27"/>
      <c r="AC774" s="27"/>
      <c r="AD774" s="27"/>
    </row>
    <row r="775" ht="15.75" customHeight="1">
      <c r="G775" s="23"/>
      <c r="K775" s="24"/>
      <c r="L775" s="24"/>
      <c r="N775" s="25"/>
      <c r="O775" s="25"/>
      <c r="P775" s="25"/>
      <c r="Q775" s="25"/>
      <c r="R775" s="25"/>
      <c r="S775" s="25"/>
      <c r="T775" s="25"/>
      <c r="U775" s="26"/>
      <c r="V775" s="27"/>
      <c r="W775" s="27"/>
      <c r="X775" s="27"/>
      <c r="Y775" s="27"/>
      <c r="Z775" s="27"/>
      <c r="AA775" s="27"/>
      <c r="AB775" s="27"/>
      <c r="AC775" s="27"/>
      <c r="AD775" s="27"/>
    </row>
    <row r="776" ht="15.75" customHeight="1">
      <c r="G776" s="23"/>
      <c r="K776" s="24"/>
      <c r="L776" s="24"/>
      <c r="N776" s="25"/>
      <c r="O776" s="25"/>
      <c r="P776" s="25"/>
      <c r="Q776" s="25"/>
      <c r="R776" s="25"/>
      <c r="S776" s="25"/>
      <c r="T776" s="25"/>
      <c r="U776" s="26"/>
      <c r="V776" s="27"/>
      <c r="W776" s="27"/>
      <c r="X776" s="27"/>
      <c r="Y776" s="27"/>
      <c r="Z776" s="27"/>
      <c r="AA776" s="27"/>
      <c r="AB776" s="27"/>
      <c r="AC776" s="27"/>
      <c r="AD776" s="27"/>
    </row>
    <row r="777" ht="15.75" customHeight="1">
      <c r="G777" s="23"/>
      <c r="K777" s="24"/>
      <c r="L777" s="24"/>
      <c r="N777" s="25"/>
      <c r="O777" s="25"/>
      <c r="P777" s="25"/>
      <c r="Q777" s="25"/>
      <c r="R777" s="25"/>
      <c r="S777" s="25"/>
      <c r="T777" s="25"/>
      <c r="U777" s="26"/>
      <c r="V777" s="27"/>
      <c r="W777" s="27"/>
      <c r="X777" s="27"/>
      <c r="Y777" s="27"/>
      <c r="Z777" s="27"/>
      <c r="AA777" s="27"/>
      <c r="AB777" s="27"/>
      <c r="AC777" s="27"/>
      <c r="AD777" s="27"/>
    </row>
    <row r="778" ht="15.75" customHeight="1">
      <c r="G778" s="23"/>
      <c r="K778" s="24"/>
      <c r="L778" s="24"/>
      <c r="N778" s="25"/>
      <c r="O778" s="25"/>
      <c r="P778" s="25"/>
      <c r="Q778" s="25"/>
      <c r="R778" s="25"/>
      <c r="S778" s="25"/>
      <c r="T778" s="25"/>
      <c r="U778" s="26"/>
      <c r="V778" s="27"/>
      <c r="W778" s="27"/>
      <c r="X778" s="27"/>
      <c r="Y778" s="27"/>
      <c r="Z778" s="27"/>
      <c r="AA778" s="27"/>
      <c r="AB778" s="27"/>
      <c r="AC778" s="27"/>
      <c r="AD778" s="27"/>
    </row>
    <row r="779" ht="15.75" customHeight="1">
      <c r="G779" s="23"/>
      <c r="K779" s="24"/>
      <c r="L779" s="24"/>
      <c r="N779" s="25"/>
      <c r="O779" s="25"/>
      <c r="P779" s="25"/>
      <c r="Q779" s="25"/>
      <c r="R779" s="25"/>
      <c r="S779" s="25"/>
      <c r="T779" s="25"/>
      <c r="U779" s="26"/>
      <c r="V779" s="27"/>
      <c r="W779" s="27"/>
      <c r="X779" s="27"/>
      <c r="Y779" s="27"/>
      <c r="Z779" s="27"/>
      <c r="AA779" s="27"/>
      <c r="AB779" s="27"/>
      <c r="AC779" s="27"/>
      <c r="AD779" s="27"/>
    </row>
    <row r="780" ht="15.75" customHeight="1">
      <c r="G780" s="23"/>
      <c r="K780" s="24"/>
      <c r="L780" s="24"/>
      <c r="N780" s="25"/>
      <c r="O780" s="25"/>
      <c r="P780" s="25"/>
      <c r="Q780" s="25"/>
      <c r="R780" s="25"/>
      <c r="S780" s="25"/>
      <c r="T780" s="25"/>
      <c r="U780" s="26"/>
      <c r="V780" s="27"/>
      <c r="W780" s="27"/>
      <c r="X780" s="27"/>
      <c r="Y780" s="27"/>
      <c r="Z780" s="27"/>
      <c r="AA780" s="27"/>
      <c r="AB780" s="27"/>
      <c r="AC780" s="27"/>
      <c r="AD780" s="27"/>
    </row>
    <row r="781" ht="15.75" customHeight="1">
      <c r="G781" s="23"/>
      <c r="K781" s="24"/>
      <c r="L781" s="24"/>
      <c r="N781" s="25"/>
      <c r="O781" s="25"/>
      <c r="P781" s="25"/>
      <c r="Q781" s="25"/>
      <c r="R781" s="25"/>
      <c r="S781" s="25"/>
      <c r="T781" s="25"/>
      <c r="U781" s="26"/>
      <c r="V781" s="27"/>
      <c r="W781" s="27"/>
      <c r="X781" s="27"/>
      <c r="Y781" s="27"/>
      <c r="Z781" s="27"/>
      <c r="AA781" s="27"/>
      <c r="AB781" s="27"/>
      <c r="AC781" s="27"/>
      <c r="AD781" s="27"/>
    </row>
    <row r="782" ht="15.75" customHeight="1">
      <c r="G782" s="23"/>
      <c r="K782" s="24"/>
      <c r="L782" s="24"/>
      <c r="N782" s="25"/>
      <c r="O782" s="25"/>
      <c r="P782" s="25"/>
      <c r="Q782" s="25"/>
      <c r="R782" s="25"/>
      <c r="S782" s="25"/>
      <c r="T782" s="25"/>
      <c r="U782" s="26"/>
      <c r="V782" s="27"/>
      <c r="W782" s="27"/>
      <c r="X782" s="27"/>
      <c r="Y782" s="27"/>
      <c r="Z782" s="27"/>
      <c r="AA782" s="27"/>
      <c r="AB782" s="27"/>
      <c r="AC782" s="27"/>
      <c r="AD782" s="27"/>
    </row>
    <row r="783" ht="15.75" customHeight="1">
      <c r="G783" s="23"/>
      <c r="K783" s="24"/>
      <c r="L783" s="24"/>
      <c r="N783" s="25"/>
      <c r="O783" s="25"/>
      <c r="P783" s="25"/>
      <c r="Q783" s="25"/>
      <c r="R783" s="25"/>
      <c r="S783" s="25"/>
      <c r="T783" s="25"/>
      <c r="U783" s="26"/>
      <c r="V783" s="27"/>
      <c r="W783" s="27"/>
      <c r="X783" s="27"/>
      <c r="Y783" s="27"/>
      <c r="Z783" s="27"/>
      <c r="AA783" s="27"/>
      <c r="AB783" s="27"/>
      <c r="AC783" s="27"/>
      <c r="AD783" s="27"/>
    </row>
    <row r="784" ht="15.75" customHeight="1">
      <c r="G784" s="23"/>
      <c r="K784" s="24"/>
      <c r="L784" s="24"/>
      <c r="N784" s="25"/>
      <c r="O784" s="25"/>
      <c r="P784" s="25"/>
      <c r="Q784" s="25"/>
      <c r="R784" s="25"/>
      <c r="S784" s="25"/>
      <c r="T784" s="25"/>
      <c r="U784" s="26"/>
      <c r="V784" s="27"/>
      <c r="W784" s="27"/>
      <c r="X784" s="27"/>
      <c r="Y784" s="27"/>
      <c r="Z784" s="27"/>
      <c r="AA784" s="27"/>
      <c r="AB784" s="27"/>
      <c r="AC784" s="27"/>
      <c r="AD784" s="27"/>
    </row>
    <row r="785" ht="15.75" customHeight="1">
      <c r="G785" s="23"/>
      <c r="K785" s="24"/>
      <c r="L785" s="24"/>
      <c r="N785" s="25"/>
      <c r="O785" s="25"/>
      <c r="P785" s="25"/>
      <c r="Q785" s="25"/>
      <c r="R785" s="25"/>
      <c r="S785" s="25"/>
      <c r="T785" s="25"/>
      <c r="U785" s="26"/>
      <c r="V785" s="27"/>
      <c r="W785" s="27"/>
      <c r="X785" s="27"/>
      <c r="Y785" s="27"/>
      <c r="Z785" s="27"/>
      <c r="AA785" s="27"/>
      <c r="AB785" s="27"/>
      <c r="AC785" s="27"/>
      <c r="AD785" s="27"/>
    </row>
    <row r="786" ht="15.75" customHeight="1">
      <c r="G786" s="23"/>
      <c r="K786" s="24"/>
      <c r="L786" s="24"/>
      <c r="N786" s="25"/>
      <c r="O786" s="25"/>
      <c r="P786" s="25"/>
      <c r="Q786" s="25"/>
      <c r="R786" s="25"/>
      <c r="S786" s="25"/>
      <c r="T786" s="25"/>
      <c r="U786" s="26"/>
      <c r="V786" s="27"/>
      <c r="W786" s="27"/>
      <c r="X786" s="27"/>
      <c r="Y786" s="27"/>
      <c r="Z786" s="27"/>
      <c r="AA786" s="27"/>
      <c r="AB786" s="27"/>
      <c r="AC786" s="27"/>
      <c r="AD786" s="27"/>
    </row>
    <row r="787" ht="15.75" customHeight="1">
      <c r="G787" s="23"/>
      <c r="K787" s="24"/>
      <c r="L787" s="24"/>
      <c r="N787" s="25"/>
      <c r="O787" s="25"/>
      <c r="P787" s="25"/>
      <c r="Q787" s="25"/>
      <c r="R787" s="25"/>
      <c r="S787" s="25"/>
      <c r="T787" s="25"/>
      <c r="U787" s="26"/>
      <c r="V787" s="27"/>
      <c r="W787" s="27"/>
      <c r="X787" s="27"/>
      <c r="Y787" s="27"/>
      <c r="Z787" s="27"/>
      <c r="AA787" s="27"/>
      <c r="AB787" s="27"/>
      <c r="AC787" s="27"/>
      <c r="AD787" s="27"/>
    </row>
    <row r="788" ht="15.75" customHeight="1">
      <c r="G788" s="23"/>
      <c r="K788" s="24"/>
      <c r="L788" s="24"/>
      <c r="N788" s="25"/>
      <c r="O788" s="25"/>
      <c r="P788" s="25"/>
      <c r="Q788" s="25"/>
      <c r="R788" s="25"/>
      <c r="S788" s="25"/>
      <c r="T788" s="25"/>
      <c r="U788" s="26"/>
      <c r="V788" s="27"/>
      <c r="W788" s="27"/>
      <c r="X788" s="27"/>
      <c r="Y788" s="27"/>
      <c r="Z788" s="27"/>
      <c r="AA788" s="27"/>
      <c r="AB788" s="27"/>
      <c r="AC788" s="27"/>
      <c r="AD788" s="27"/>
    </row>
    <row r="789" ht="15.75" customHeight="1">
      <c r="G789" s="23"/>
      <c r="K789" s="24"/>
      <c r="L789" s="24"/>
      <c r="N789" s="25"/>
      <c r="O789" s="25"/>
      <c r="P789" s="25"/>
      <c r="Q789" s="25"/>
      <c r="R789" s="25"/>
      <c r="S789" s="25"/>
      <c r="T789" s="25"/>
      <c r="U789" s="26"/>
      <c r="V789" s="27"/>
      <c r="W789" s="27"/>
      <c r="X789" s="27"/>
      <c r="Y789" s="27"/>
      <c r="Z789" s="27"/>
      <c r="AA789" s="27"/>
      <c r="AB789" s="27"/>
      <c r="AC789" s="27"/>
      <c r="AD789" s="27"/>
    </row>
    <row r="790" ht="15.75" customHeight="1">
      <c r="G790" s="23"/>
      <c r="K790" s="24"/>
      <c r="L790" s="24"/>
      <c r="N790" s="25"/>
      <c r="O790" s="25"/>
      <c r="P790" s="25"/>
      <c r="Q790" s="25"/>
      <c r="R790" s="25"/>
      <c r="S790" s="25"/>
      <c r="T790" s="25"/>
      <c r="U790" s="26"/>
      <c r="V790" s="27"/>
      <c r="W790" s="27"/>
      <c r="X790" s="27"/>
      <c r="Y790" s="27"/>
      <c r="Z790" s="27"/>
      <c r="AA790" s="27"/>
      <c r="AB790" s="27"/>
      <c r="AC790" s="27"/>
      <c r="AD790" s="27"/>
    </row>
    <row r="791" ht="15.75" customHeight="1">
      <c r="G791" s="23"/>
      <c r="K791" s="24"/>
      <c r="L791" s="24"/>
      <c r="N791" s="25"/>
      <c r="O791" s="25"/>
      <c r="P791" s="25"/>
      <c r="Q791" s="25"/>
      <c r="R791" s="25"/>
      <c r="S791" s="25"/>
      <c r="T791" s="25"/>
      <c r="U791" s="26"/>
      <c r="V791" s="27"/>
      <c r="W791" s="27"/>
      <c r="X791" s="27"/>
      <c r="Y791" s="27"/>
      <c r="Z791" s="27"/>
      <c r="AA791" s="27"/>
      <c r="AB791" s="27"/>
      <c r="AC791" s="27"/>
      <c r="AD791" s="27"/>
    </row>
    <row r="792" ht="15.75" customHeight="1">
      <c r="G792" s="23"/>
      <c r="K792" s="24"/>
      <c r="L792" s="24"/>
      <c r="N792" s="25"/>
      <c r="O792" s="25"/>
      <c r="P792" s="25"/>
      <c r="Q792" s="25"/>
      <c r="R792" s="25"/>
      <c r="S792" s="25"/>
      <c r="T792" s="25"/>
      <c r="U792" s="26"/>
      <c r="V792" s="27"/>
      <c r="W792" s="27"/>
      <c r="X792" s="27"/>
      <c r="Y792" s="27"/>
      <c r="Z792" s="27"/>
      <c r="AA792" s="27"/>
      <c r="AB792" s="27"/>
      <c r="AC792" s="27"/>
      <c r="AD792" s="27"/>
    </row>
    <row r="793" ht="15.75" customHeight="1">
      <c r="G793" s="23"/>
      <c r="K793" s="24"/>
      <c r="L793" s="24"/>
      <c r="N793" s="25"/>
      <c r="O793" s="25"/>
      <c r="P793" s="25"/>
      <c r="Q793" s="25"/>
      <c r="R793" s="25"/>
      <c r="S793" s="25"/>
      <c r="T793" s="25"/>
      <c r="U793" s="26"/>
      <c r="V793" s="27"/>
      <c r="W793" s="27"/>
      <c r="X793" s="27"/>
      <c r="Y793" s="27"/>
      <c r="Z793" s="27"/>
      <c r="AA793" s="27"/>
      <c r="AB793" s="27"/>
      <c r="AC793" s="27"/>
      <c r="AD793" s="27"/>
    </row>
    <row r="794" ht="15.75" customHeight="1">
      <c r="G794" s="23"/>
      <c r="K794" s="24"/>
      <c r="L794" s="24"/>
      <c r="N794" s="25"/>
      <c r="O794" s="25"/>
      <c r="P794" s="25"/>
      <c r="Q794" s="25"/>
      <c r="R794" s="25"/>
      <c r="S794" s="25"/>
      <c r="T794" s="25"/>
      <c r="U794" s="26"/>
      <c r="V794" s="27"/>
      <c r="W794" s="27"/>
      <c r="X794" s="27"/>
      <c r="Y794" s="27"/>
      <c r="Z794" s="27"/>
      <c r="AA794" s="27"/>
      <c r="AB794" s="27"/>
      <c r="AC794" s="27"/>
      <c r="AD794" s="27"/>
    </row>
    <row r="795" ht="15.75" customHeight="1">
      <c r="G795" s="23"/>
      <c r="K795" s="24"/>
      <c r="L795" s="24"/>
      <c r="N795" s="25"/>
      <c r="O795" s="25"/>
      <c r="P795" s="25"/>
      <c r="Q795" s="25"/>
      <c r="R795" s="25"/>
      <c r="S795" s="25"/>
      <c r="T795" s="25"/>
      <c r="U795" s="26"/>
      <c r="V795" s="27"/>
      <c r="W795" s="27"/>
      <c r="X795" s="27"/>
      <c r="Y795" s="27"/>
      <c r="Z795" s="27"/>
      <c r="AA795" s="27"/>
      <c r="AB795" s="27"/>
      <c r="AC795" s="27"/>
      <c r="AD795" s="27"/>
    </row>
    <row r="796" ht="15.75" customHeight="1">
      <c r="G796" s="23"/>
      <c r="K796" s="24"/>
      <c r="L796" s="24"/>
      <c r="N796" s="25"/>
      <c r="O796" s="25"/>
      <c r="P796" s="25"/>
      <c r="Q796" s="25"/>
      <c r="R796" s="25"/>
      <c r="S796" s="25"/>
      <c r="T796" s="25"/>
      <c r="U796" s="26"/>
      <c r="V796" s="27"/>
      <c r="W796" s="27"/>
      <c r="X796" s="27"/>
      <c r="Y796" s="27"/>
      <c r="Z796" s="27"/>
      <c r="AA796" s="27"/>
      <c r="AB796" s="27"/>
      <c r="AC796" s="27"/>
      <c r="AD796" s="27"/>
    </row>
    <row r="797" ht="15.75" customHeight="1">
      <c r="G797" s="23"/>
      <c r="K797" s="24"/>
      <c r="L797" s="24"/>
      <c r="N797" s="25"/>
      <c r="O797" s="25"/>
      <c r="P797" s="25"/>
      <c r="Q797" s="25"/>
      <c r="R797" s="25"/>
      <c r="S797" s="25"/>
      <c r="T797" s="25"/>
      <c r="U797" s="26"/>
      <c r="V797" s="27"/>
      <c r="W797" s="27"/>
      <c r="X797" s="27"/>
      <c r="Y797" s="27"/>
      <c r="Z797" s="27"/>
      <c r="AA797" s="27"/>
      <c r="AB797" s="27"/>
      <c r="AC797" s="27"/>
      <c r="AD797" s="27"/>
    </row>
    <row r="798" ht="15.75" customHeight="1">
      <c r="G798" s="23"/>
      <c r="K798" s="24"/>
      <c r="L798" s="24"/>
      <c r="N798" s="25"/>
      <c r="O798" s="25"/>
      <c r="P798" s="25"/>
      <c r="Q798" s="25"/>
      <c r="R798" s="25"/>
      <c r="S798" s="25"/>
      <c r="T798" s="25"/>
      <c r="U798" s="26"/>
      <c r="V798" s="27"/>
      <c r="W798" s="27"/>
      <c r="X798" s="27"/>
      <c r="Y798" s="27"/>
      <c r="Z798" s="27"/>
      <c r="AA798" s="27"/>
      <c r="AB798" s="27"/>
      <c r="AC798" s="27"/>
      <c r="AD798" s="27"/>
    </row>
    <row r="799" ht="15.75" customHeight="1">
      <c r="G799" s="23"/>
      <c r="K799" s="24"/>
      <c r="L799" s="24"/>
      <c r="N799" s="25"/>
      <c r="O799" s="25"/>
      <c r="P799" s="25"/>
      <c r="Q799" s="25"/>
      <c r="R799" s="25"/>
      <c r="S799" s="25"/>
      <c r="T799" s="25"/>
      <c r="U799" s="26"/>
      <c r="V799" s="27"/>
      <c r="W799" s="27"/>
      <c r="X799" s="27"/>
      <c r="Y799" s="27"/>
      <c r="Z799" s="27"/>
      <c r="AA799" s="27"/>
      <c r="AB799" s="27"/>
      <c r="AC799" s="27"/>
      <c r="AD799" s="27"/>
    </row>
    <row r="800" ht="15.75" customHeight="1">
      <c r="G800" s="23"/>
      <c r="K800" s="24"/>
      <c r="L800" s="24"/>
      <c r="N800" s="25"/>
      <c r="O800" s="25"/>
      <c r="P800" s="25"/>
      <c r="Q800" s="25"/>
      <c r="R800" s="25"/>
      <c r="S800" s="25"/>
      <c r="T800" s="25"/>
      <c r="U800" s="26"/>
      <c r="V800" s="27"/>
      <c r="W800" s="27"/>
      <c r="X800" s="27"/>
      <c r="Y800" s="27"/>
      <c r="Z800" s="27"/>
      <c r="AA800" s="27"/>
      <c r="AB800" s="27"/>
      <c r="AC800" s="27"/>
      <c r="AD800" s="27"/>
    </row>
    <row r="801" ht="15.75" customHeight="1">
      <c r="G801" s="23"/>
      <c r="K801" s="24"/>
      <c r="L801" s="24"/>
      <c r="N801" s="25"/>
      <c r="O801" s="25"/>
      <c r="P801" s="25"/>
      <c r="Q801" s="25"/>
      <c r="R801" s="25"/>
      <c r="S801" s="25"/>
      <c r="T801" s="25"/>
      <c r="U801" s="26"/>
      <c r="V801" s="27"/>
      <c r="W801" s="27"/>
      <c r="X801" s="27"/>
      <c r="Y801" s="27"/>
      <c r="Z801" s="27"/>
      <c r="AA801" s="27"/>
      <c r="AB801" s="27"/>
      <c r="AC801" s="27"/>
      <c r="AD801" s="27"/>
    </row>
    <row r="802" ht="15.75" customHeight="1">
      <c r="G802" s="23"/>
      <c r="K802" s="24"/>
      <c r="L802" s="24"/>
      <c r="N802" s="25"/>
      <c r="O802" s="25"/>
      <c r="P802" s="25"/>
      <c r="Q802" s="25"/>
      <c r="R802" s="25"/>
      <c r="S802" s="25"/>
      <c r="T802" s="25"/>
      <c r="U802" s="26"/>
      <c r="V802" s="27"/>
      <c r="W802" s="27"/>
      <c r="X802" s="27"/>
      <c r="Y802" s="27"/>
      <c r="Z802" s="27"/>
      <c r="AA802" s="27"/>
      <c r="AB802" s="27"/>
      <c r="AC802" s="27"/>
      <c r="AD802" s="27"/>
    </row>
    <row r="803" ht="15.75" customHeight="1">
      <c r="G803" s="23"/>
      <c r="K803" s="24"/>
      <c r="L803" s="24"/>
      <c r="N803" s="25"/>
      <c r="O803" s="25"/>
      <c r="P803" s="25"/>
      <c r="Q803" s="25"/>
      <c r="R803" s="25"/>
      <c r="S803" s="25"/>
      <c r="T803" s="25"/>
      <c r="U803" s="26"/>
      <c r="V803" s="27"/>
      <c r="W803" s="27"/>
      <c r="X803" s="27"/>
      <c r="Y803" s="27"/>
      <c r="Z803" s="27"/>
      <c r="AA803" s="27"/>
      <c r="AB803" s="27"/>
      <c r="AC803" s="27"/>
      <c r="AD803" s="27"/>
    </row>
    <row r="804" ht="15.75" customHeight="1">
      <c r="G804" s="23"/>
      <c r="K804" s="24"/>
      <c r="L804" s="24"/>
      <c r="N804" s="25"/>
      <c r="O804" s="25"/>
      <c r="P804" s="25"/>
      <c r="Q804" s="25"/>
      <c r="R804" s="25"/>
      <c r="S804" s="25"/>
      <c r="T804" s="25"/>
      <c r="U804" s="26"/>
      <c r="V804" s="27"/>
      <c r="W804" s="27"/>
      <c r="X804" s="27"/>
      <c r="Y804" s="27"/>
      <c r="Z804" s="27"/>
      <c r="AA804" s="27"/>
      <c r="AB804" s="27"/>
      <c r="AC804" s="27"/>
      <c r="AD804" s="27"/>
    </row>
    <row r="805" ht="15.75" customHeight="1">
      <c r="G805" s="23"/>
      <c r="K805" s="24"/>
      <c r="L805" s="24"/>
      <c r="N805" s="25"/>
      <c r="O805" s="25"/>
      <c r="P805" s="25"/>
      <c r="Q805" s="25"/>
      <c r="R805" s="25"/>
      <c r="S805" s="25"/>
      <c r="T805" s="25"/>
      <c r="U805" s="26"/>
      <c r="V805" s="27"/>
      <c r="W805" s="27"/>
      <c r="X805" s="27"/>
      <c r="Y805" s="27"/>
      <c r="Z805" s="27"/>
      <c r="AA805" s="27"/>
      <c r="AB805" s="27"/>
      <c r="AC805" s="27"/>
      <c r="AD805" s="27"/>
    </row>
    <row r="806" ht="15.75" customHeight="1">
      <c r="G806" s="23"/>
      <c r="K806" s="24"/>
      <c r="L806" s="24"/>
      <c r="N806" s="25"/>
      <c r="O806" s="25"/>
      <c r="P806" s="25"/>
      <c r="Q806" s="25"/>
      <c r="R806" s="25"/>
      <c r="S806" s="25"/>
      <c r="T806" s="25"/>
      <c r="U806" s="26"/>
      <c r="V806" s="27"/>
      <c r="W806" s="27"/>
      <c r="X806" s="27"/>
      <c r="Y806" s="27"/>
      <c r="Z806" s="27"/>
      <c r="AA806" s="27"/>
      <c r="AB806" s="27"/>
      <c r="AC806" s="27"/>
      <c r="AD806" s="27"/>
    </row>
    <row r="807" ht="15.75" customHeight="1">
      <c r="G807" s="23"/>
      <c r="K807" s="24"/>
      <c r="L807" s="24"/>
      <c r="N807" s="25"/>
      <c r="O807" s="25"/>
      <c r="P807" s="25"/>
      <c r="Q807" s="25"/>
      <c r="R807" s="25"/>
      <c r="S807" s="25"/>
      <c r="T807" s="25"/>
      <c r="U807" s="26"/>
      <c r="V807" s="27"/>
      <c r="W807" s="27"/>
      <c r="X807" s="27"/>
      <c r="Y807" s="27"/>
      <c r="Z807" s="27"/>
      <c r="AA807" s="27"/>
      <c r="AB807" s="27"/>
      <c r="AC807" s="27"/>
      <c r="AD807" s="27"/>
    </row>
    <row r="808" ht="15.75" customHeight="1">
      <c r="G808" s="23"/>
      <c r="K808" s="24"/>
      <c r="L808" s="24"/>
      <c r="N808" s="25"/>
      <c r="O808" s="25"/>
      <c r="P808" s="25"/>
      <c r="Q808" s="25"/>
      <c r="R808" s="25"/>
      <c r="S808" s="25"/>
      <c r="T808" s="25"/>
      <c r="U808" s="26"/>
      <c r="V808" s="27"/>
      <c r="W808" s="27"/>
      <c r="X808" s="27"/>
      <c r="Y808" s="27"/>
      <c r="Z808" s="27"/>
      <c r="AA808" s="27"/>
      <c r="AB808" s="27"/>
      <c r="AC808" s="27"/>
      <c r="AD808" s="27"/>
    </row>
    <row r="809" ht="15.75" customHeight="1">
      <c r="G809" s="23"/>
      <c r="K809" s="24"/>
      <c r="L809" s="24"/>
      <c r="N809" s="25"/>
      <c r="O809" s="25"/>
      <c r="P809" s="25"/>
      <c r="Q809" s="25"/>
      <c r="R809" s="25"/>
      <c r="S809" s="25"/>
      <c r="T809" s="25"/>
      <c r="U809" s="26"/>
      <c r="V809" s="27"/>
      <c r="W809" s="27"/>
      <c r="X809" s="27"/>
      <c r="Y809" s="27"/>
      <c r="Z809" s="27"/>
      <c r="AA809" s="27"/>
      <c r="AB809" s="27"/>
      <c r="AC809" s="27"/>
      <c r="AD809" s="27"/>
    </row>
    <row r="810" ht="15.75" customHeight="1">
      <c r="G810" s="23"/>
      <c r="K810" s="24"/>
      <c r="L810" s="24"/>
      <c r="N810" s="25"/>
      <c r="O810" s="25"/>
      <c r="P810" s="25"/>
      <c r="Q810" s="25"/>
      <c r="R810" s="25"/>
      <c r="S810" s="25"/>
      <c r="T810" s="25"/>
      <c r="U810" s="26"/>
      <c r="V810" s="27"/>
      <c r="W810" s="27"/>
      <c r="X810" s="27"/>
      <c r="Y810" s="27"/>
      <c r="Z810" s="27"/>
      <c r="AA810" s="27"/>
      <c r="AB810" s="27"/>
      <c r="AC810" s="27"/>
      <c r="AD810" s="27"/>
    </row>
    <row r="811" ht="15.75" customHeight="1">
      <c r="G811" s="23"/>
      <c r="K811" s="24"/>
      <c r="L811" s="24"/>
      <c r="N811" s="25"/>
      <c r="O811" s="25"/>
      <c r="P811" s="25"/>
      <c r="Q811" s="25"/>
      <c r="R811" s="25"/>
      <c r="S811" s="25"/>
      <c r="T811" s="25"/>
      <c r="U811" s="26"/>
      <c r="V811" s="27"/>
      <c r="W811" s="27"/>
      <c r="X811" s="27"/>
      <c r="Y811" s="27"/>
      <c r="Z811" s="27"/>
      <c r="AA811" s="27"/>
      <c r="AB811" s="27"/>
      <c r="AC811" s="27"/>
      <c r="AD811" s="27"/>
    </row>
    <row r="812" ht="15.75" customHeight="1">
      <c r="G812" s="23"/>
      <c r="K812" s="24"/>
      <c r="L812" s="24"/>
      <c r="N812" s="25"/>
      <c r="O812" s="25"/>
      <c r="P812" s="25"/>
      <c r="Q812" s="25"/>
      <c r="R812" s="25"/>
      <c r="S812" s="25"/>
      <c r="T812" s="25"/>
      <c r="U812" s="26"/>
      <c r="V812" s="27"/>
      <c r="W812" s="27"/>
      <c r="X812" s="27"/>
      <c r="Y812" s="27"/>
      <c r="Z812" s="27"/>
      <c r="AA812" s="27"/>
      <c r="AB812" s="27"/>
      <c r="AC812" s="27"/>
      <c r="AD812" s="27"/>
    </row>
    <row r="813" ht="15.75" customHeight="1">
      <c r="G813" s="23"/>
      <c r="K813" s="24"/>
      <c r="L813" s="24"/>
      <c r="N813" s="25"/>
      <c r="O813" s="25"/>
      <c r="P813" s="25"/>
      <c r="Q813" s="25"/>
      <c r="R813" s="25"/>
      <c r="S813" s="25"/>
      <c r="T813" s="25"/>
      <c r="U813" s="26"/>
      <c r="V813" s="27"/>
      <c r="W813" s="27"/>
      <c r="X813" s="27"/>
      <c r="Y813" s="27"/>
      <c r="Z813" s="27"/>
      <c r="AA813" s="27"/>
      <c r="AB813" s="27"/>
      <c r="AC813" s="27"/>
      <c r="AD813" s="27"/>
    </row>
    <row r="814" ht="15.75" customHeight="1">
      <c r="G814" s="23"/>
      <c r="K814" s="24"/>
      <c r="L814" s="24"/>
      <c r="N814" s="25"/>
      <c r="O814" s="25"/>
      <c r="P814" s="25"/>
      <c r="Q814" s="25"/>
      <c r="R814" s="25"/>
      <c r="S814" s="25"/>
      <c r="T814" s="25"/>
      <c r="U814" s="26"/>
      <c r="V814" s="27"/>
      <c r="W814" s="27"/>
      <c r="X814" s="27"/>
      <c r="Y814" s="27"/>
      <c r="Z814" s="27"/>
      <c r="AA814" s="27"/>
      <c r="AB814" s="27"/>
      <c r="AC814" s="27"/>
      <c r="AD814" s="27"/>
    </row>
    <row r="815" ht="15.75" customHeight="1">
      <c r="G815" s="23"/>
      <c r="K815" s="24"/>
      <c r="L815" s="24"/>
      <c r="N815" s="25"/>
      <c r="O815" s="25"/>
      <c r="P815" s="25"/>
      <c r="Q815" s="25"/>
      <c r="R815" s="25"/>
      <c r="S815" s="25"/>
      <c r="T815" s="25"/>
      <c r="U815" s="26"/>
      <c r="V815" s="27"/>
      <c r="W815" s="27"/>
      <c r="X815" s="27"/>
      <c r="Y815" s="27"/>
      <c r="Z815" s="27"/>
      <c r="AA815" s="27"/>
      <c r="AB815" s="27"/>
      <c r="AC815" s="27"/>
      <c r="AD815" s="27"/>
    </row>
    <row r="816" ht="15.75" customHeight="1">
      <c r="G816" s="23"/>
      <c r="K816" s="24"/>
      <c r="L816" s="24"/>
      <c r="N816" s="25"/>
      <c r="O816" s="25"/>
      <c r="P816" s="25"/>
      <c r="Q816" s="25"/>
      <c r="R816" s="25"/>
      <c r="S816" s="25"/>
      <c r="T816" s="25"/>
      <c r="U816" s="26"/>
      <c r="V816" s="27"/>
      <c r="W816" s="27"/>
      <c r="X816" s="27"/>
      <c r="Y816" s="27"/>
      <c r="Z816" s="27"/>
      <c r="AA816" s="27"/>
      <c r="AB816" s="27"/>
      <c r="AC816" s="27"/>
      <c r="AD816" s="27"/>
    </row>
    <row r="817" ht="15.75" customHeight="1">
      <c r="G817" s="23"/>
      <c r="K817" s="24"/>
      <c r="L817" s="24"/>
      <c r="N817" s="25"/>
      <c r="O817" s="25"/>
      <c r="P817" s="25"/>
      <c r="Q817" s="25"/>
      <c r="R817" s="25"/>
      <c r="S817" s="25"/>
      <c r="T817" s="25"/>
      <c r="U817" s="26"/>
      <c r="V817" s="27"/>
      <c r="W817" s="27"/>
      <c r="X817" s="27"/>
      <c r="Y817" s="27"/>
      <c r="Z817" s="27"/>
      <c r="AA817" s="27"/>
      <c r="AB817" s="27"/>
      <c r="AC817" s="27"/>
      <c r="AD817" s="27"/>
    </row>
    <row r="818" ht="15.75" customHeight="1">
      <c r="G818" s="23"/>
      <c r="K818" s="24"/>
      <c r="L818" s="24"/>
      <c r="N818" s="25"/>
      <c r="O818" s="25"/>
      <c r="P818" s="25"/>
      <c r="Q818" s="25"/>
      <c r="R818" s="25"/>
      <c r="S818" s="25"/>
      <c r="T818" s="25"/>
      <c r="U818" s="26"/>
      <c r="V818" s="27"/>
      <c r="W818" s="27"/>
      <c r="X818" s="27"/>
      <c r="Y818" s="27"/>
      <c r="Z818" s="27"/>
      <c r="AA818" s="27"/>
      <c r="AB818" s="27"/>
      <c r="AC818" s="27"/>
      <c r="AD818" s="27"/>
    </row>
    <row r="819" ht="15.75" customHeight="1">
      <c r="G819" s="23"/>
      <c r="K819" s="24"/>
      <c r="L819" s="24"/>
      <c r="N819" s="25"/>
      <c r="O819" s="25"/>
      <c r="P819" s="25"/>
      <c r="Q819" s="25"/>
      <c r="R819" s="25"/>
      <c r="S819" s="25"/>
      <c r="T819" s="25"/>
      <c r="U819" s="26"/>
      <c r="V819" s="27"/>
      <c r="W819" s="27"/>
      <c r="X819" s="27"/>
      <c r="Y819" s="27"/>
      <c r="Z819" s="27"/>
      <c r="AA819" s="27"/>
      <c r="AB819" s="27"/>
      <c r="AC819" s="27"/>
      <c r="AD819" s="27"/>
    </row>
    <row r="820" ht="15.75" customHeight="1">
      <c r="G820" s="23"/>
      <c r="K820" s="24"/>
      <c r="L820" s="24"/>
      <c r="N820" s="25"/>
      <c r="O820" s="25"/>
      <c r="P820" s="25"/>
      <c r="Q820" s="25"/>
      <c r="R820" s="25"/>
      <c r="S820" s="25"/>
      <c r="T820" s="25"/>
      <c r="U820" s="26"/>
      <c r="V820" s="27"/>
      <c r="W820" s="27"/>
      <c r="X820" s="27"/>
      <c r="Y820" s="27"/>
      <c r="Z820" s="27"/>
      <c r="AA820" s="27"/>
      <c r="AB820" s="27"/>
      <c r="AC820" s="27"/>
      <c r="AD820" s="27"/>
    </row>
    <row r="821" ht="15.75" customHeight="1">
      <c r="G821" s="23"/>
      <c r="K821" s="24"/>
      <c r="L821" s="24"/>
      <c r="N821" s="25"/>
      <c r="O821" s="25"/>
      <c r="P821" s="25"/>
      <c r="Q821" s="25"/>
      <c r="R821" s="25"/>
      <c r="S821" s="25"/>
      <c r="T821" s="25"/>
      <c r="U821" s="26"/>
      <c r="V821" s="27"/>
      <c r="W821" s="27"/>
      <c r="X821" s="27"/>
      <c r="Y821" s="27"/>
      <c r="Z821" s="27"/>
      <c r="AA821" s="27"/>
      <c r="AB821" s="27"/>
      <c r="AC821" s="27"/>
      <c r="AD821" s="27"/>
    </row>
    <row r="822" ht="15.75" customHeight="1">
      <c r="G822" s="23"/>
      <c r="K822" s="24"/>
      <c r="L822" s="24"/>
      <c r="N822" s="25"/>
      <c r="O822" s="25"/>
      <c r="P822" s="25"/>
      <c r="Q822" s="25"/>
      <c r="R822" s="25"/>
      <c r="S822" s="25"/>
      <c r="T822" s="25"/>
      <c r="U822" s="26"/>
      <c r="V822" s="27"/>
      <c r="W822" s="27"/>
      <c r="X822" s="27"/>
      <c r="Y822" s="27"/>
      <c r="Z822" s="27"/>
      <c r="AA822" s="27"/>
      <c r="AB822" s="27"/>
      <c r="AC822" s="27"/>
      <c r="AD822" s="27"/>
    </row>
    <row r="823" ht="15.75" customHeight="1">
      <c r="G823" s="23"/>
      <c r="K823" s="24"/>
      <c r="L823" s="24"/>
      <c r="N823" s="25"/>
      <c r="O823" s="25"/>
      <c r="P823" s="25"/>
      <c r="Q823" s="25"/>
      <c r="R823" s="25"/>
      <c r="S823" s="25"/>
      <c r="T823" s="25"/>
      <c r="U823" s="26"/>
      <c r="V823" s="27"/>
      <c r="W823" s="27"/>
      <c r="X823" s="27"/>
      <c r="Y823" s="27"/>
      <c r="Z823" s="27"/>
      <c r="AA823" s="27"/>
      <c r="AB823" s="27"/>
      <c r="AC823" s="27"/>
      <c r="AD823" s="27"/>
    </row>
    <row r="824" ht="15.75" customHeight="1">
      <c r="G824" s="23"/>
      <c r="K824" s="24"/>
      <c r="L824" s="24"/>
      <c r="N824" s="25"/>
      <c r="O824" s="25"/>
      <c r="P824" s="25"/>
      <c r="Q824" s="25"/>
      <c r="R824" s="25"/>
      <c r="S824" s="25"/>
      <c r="T824" s="25"/>
      <c r="U824" s="26"/>
      <c r="V824" s="27"/>
      <c r="W824" s="27"/>
      <c r="X824" s="27"/>
      <c r="Y824" s="27"/>
      <c r="Z824" s="27"/>
      <c r="AA824" s="27"/>
      <c r="AB824" s="27"/>
      <c r="AC824" s="27"/>
      <c r="AD824" s="27"/>
    </row>
    <row r="825" ht="15.75" customHeight="1">
      <c r="G825" s="23"/>
      <c r="K825" s="24"/>
      <c r="L825" s="24"/>
      <c r="N825" s="25"/>
      <c r="O825" s="25"/>
      <c r="P825" s="25"/>
      <c r="Q825" s="25"/>
      <c r="R825" s="25"/>
      <c r="S825" s="25"/>
      <c r="T825" s="25"/>
      <c r="U825" s="26"/>
      <c r="V825" s="27"/>
      <c r="W825" s="27"/>
      <c r="X825" s="27"/>
      <c r="Y825" s="27"/>
      <c r="Z825" s="27"/>
      <c r="AA825" s="27"/>
      <c r="AB825" s="27"/>
      <c r="AC825" s="27"/>
      <c r="AD825" s="27"/>
    </row>
    <row r="826" ht="15.75" customHeight="1">
      <c r="G826" s="23"/>
      <c r="K826" s="24"/>
      <c r="L826" s="24"/>
      <c r="N826" s="25"/>
      <c r="O826" s="25"/>
      <c r="P826" s="25"/>
      <c r="Q826" s="25"/>
      <c r="R826" s="25"/>
      <c r="S826" s="25"/>
      <c r="T826" s="25"/>
      <c r="U826" s="26"/>
      <c r="V826" s="27"/>
      <c r="W826" s="27"/>
      <c r="X826" s="27"/>
      <c r="Y826" s="27"/>
      <c r="Z826" s="27"/>
      <c r="AA826" s="27"/>
      <c r="AB826" s="27"/>
      <c r="AC826" s="27"/>
      <c r="AD826" s="27"/>
    </row>
    <row r="827" ht="15.75" customHeight="1">
      <c r="G827" s="23"/>
      <c r="K827" s="24"/>
      <c r="L827" s="24"/>
      <c r="N827" s="25"/>
      <c r="O827" s="25"/>
      <c r="P827" s="25"/>
      <c r="Q827" s="25"/>
      <c r="R827" s="25"/>
      <c r="S827" s="25"/>
      <c r="T827" s="25"/>
      <c r="U827" s="26"/>
      <c r="V827" s="27"/>
      <c r="W827" s="27"/>
      <c r="X827" s="27"/>
      <c r="Y827" s="27"/>
      <c r="Z827" s="27"/>
      <c r="AA827" s="27"/>
      <c r="AB827" s="27"/>
      <c r="AC827" s="27"/>
      <c r="AD827" s="27"/>
    </row>
    <row r="828" ht="15.75" customHeight="1">
      <c r="G828" s="23"/>
      <c r="K828" s="24"/>
      <c r="L828" s="24"/>
      <c r="N828" s="25"/>
      <c r="O828" s="25"/>
      <c r="P828" s="25"/>
      <c r="Q828" s="25"/>
      <c r="R828" s="25"/>
      <c r="S828" s="25"/>
      <c r="T828" s="25"/>
      <c r="U828" s="26"/>
      <c r="V828" s="27"/>
      <c r="W828" s="27"/>
      <c r="X828" s="27"/>
      <c r="Y828" s="27"/>
      <c r="Z828" s="27"/>
      <c r="AA828" s="27"/>
      <c r="AB828" s="27"/>
      <c r="AC828" s="27"/>
      <c r="AD828" s="27"/>
    </row>
    <row r="829" ht="15.75" customHeight="1">
      <c r="G829" s="23"/>
      <c r="K829" s="24"/>
      <c r="L829" s="24"/>
      <c r="N829" s="25"/>
      <c r="O829" s="25"/>
      <c r="P829" s="25"/>
      <c r="Q829" s="25"/>
      <c r="R829" s="25"/>
      <c r="S829" s="25"/>
      <c r="T829" s="25"/>
      <c r="U829" s="26"/>
      <c r="V829" s="27"/>
      <c r="W829" s="27"/>
      <c r="X829" s="27"/>
      <c r="Y829" s="27"/>
      <c r="Z829" s="27"/>
      <c r="AA829" s="27"/>
      <c r="AB829" s="27"/>
      <c r="AC829" s="27"/>
      <c r="AD829" s="27"/>
    </row>
    <row r="830" ht="15.75" customHeight="1">
      <c r="G830" s="23"/>
      <c r="K830" s="24"/>
      <c r="L830" s="24"/>
      <c r="N830" s="25"/>
      <c r="O830" s="25"/>
      <c r="P830" s="25"/>
      <c r="Q830" s="25"/>
      <c r="R830" s="25"/>
      <c r="S830" s="25"/>
      <c r="T830" s="25"/>
      <c r="U830" s="26"/>
      <c r="V830" s="27"/>
      <c r="W830" s="27"/>
      <c r="X830" s="27"/>
      <c r="Y830" s="27"/>
      <c r="Z830" s="27"/>
      <c r="AA830" s="27"/>
      <c r="AB830" s="27"/>
      <c r="AC830" s="27"/>
      <c r="AD830" s="27"/>
    </row>
    <row r="831" ht="15.75" customHeight="1">
      <c r="G831" s="23"/>
      <c r="K831" s="24"/>
      <c r="L831" s="24"/>
      <c r="N831" s="25"/>
      <c r="O831" s="25"/>
      <c r="P831" s="25"/>
      <c r="Q831" s="25"/>
      <c r="R831" s="25"/>
      <c r="S831" s="25"/>
      <c r="T831" s="25"/>
      <c r="U831" s="26"/>
      <c r="V831" s="27"/>
      <c r="W831" s="27"/>
      <c r="X831" s="27"/>
      <c r="Y831" s="27"/>
      <c r="Z831" s="27"/>
      <c r="AA831" s="27"/>
      <c r="AB831" s="27"/>
      <c r="AC831" s="27"/>
      <c r="AD831" s="27"/>
    </row>
    <row r="832" ht="15.75" customHeight="1">
      <c r="G832" s="23"/>
      <c r="K832" s="24"/>
      <c r="L832" s="24"/>
      <c r="N832" s="25"/>
      <c r="O832" s="25"/>
      <c r="P832" s="25"/>
      <c r="Q832" s="25"/>
      <c r="R832" s="25"/>
      <c r="S832" s="25"/>
      <c r="T832" s="25"/>
      <c r="U832" s="26"/>
      <c r="V832" s="27"/>
      <c r="W832" s="27"/>
      <c r="X832" s="27"/>
      <c r="Y832" s="27"/>
      <c r="Z832" s="27"/>
      <c r="AA832" s="27"/>
      <c r="AB832" s="27"/>
      <c r="AC832" s="27"/>
      <c r="AD832" s="27"/>
    </row>
    <row r="833" ht="15.75" customHeight="1">
      <c r="G833" s="23"/>
      <c r="K833" s="24"/>
      <c r="L833" s="24"/>
      <c r="N833" s="25"/>
      <c r="O833" s="25"/>
      <c r="P833" s="25"/>
      <c r="Q833" s="25"/>
      <c r="R833" s="25"/>
      <c r="S833" s="25"/>
      <c r="T833" s="25"/>
      <c r="U833" s="26"/>
      <c r="V833" s="27"/>
      <c r="W833" s="27"/>
      <c r="X833" s="27"/>
      <c r="Y833" s="27"/>
      <c r="Z833" s="27"/>
      <c r="AA833" s="27"/>
      <c r="AB833" s="27"/>
      <c r="AC833" s="27"/>
      <c r="AD833" s="27"/>
    </row>
    <row r="834" ht="15.75" customHeight="1">
      <c r="G834" s="23"/>
      <c r="K834" s="24"/>
      <c r="L834" s="24"/>
      <c r="N834" s="25"/>
      <c r="O834" s="25"/>
      <c r="P834" s="25"/>
      <c r="Q834" s="25"/>
      <c r="R834" s="25"/>
      <c r="S834" s="25"/>
      <c r="T834" s="25"/>
      <c r="U834" s="26"/>
      <c r="V834" s="27"/>
      <c r="W834" s="27"/>
      <c r="X834" s="27"/>
      <c r="Y834" s="27"/>
      <c r="Z834" s="27"/>
      <c r="AA834" s="27"/>
      <c r="AB834" s="27"/>
      <c r="AC834" s="27"/>
      <c r="AD834" s="27"/>
    </row>
    <row r="835" ht="15.75" customHeight="1">
      <c r="G835" s="23"/>
      <c r="K835" s="24"/>
      <c r="L835" s="24"/>
      <c r="N835" s="25"/>
      <c r="O835" s="25"/>
      <c r="P835" s="25"/>
      <c r="Q835" s="25"/>
      <c r="R835" s="25"/>
      <c r="S835" s="25"/>
      <c r="T835" s="25"/>
      <c r="U835" s="26"/>
      <c r="V835" s="27"/>
      <c r="W835" s="27"/>
      <c r="X835" s="27"/>
      <c r="Y835" s="27"/>
      <c r="Z835" s="27"/>
      <c r="AA835" s="27"/>
      <c r="AB835" s="27"/>
      <c r="AC835" s="27"/>
      <c r="AD835" s="27"/>
    </row>
    <row r="836" ht="15.75" customHeight="1">
      <c r="G836" s="23"/>
      <c r="K836" s="24"/>
      <c r="L836" s="24"/>
      <c r="N836" s="25"/>
      <c r="O836" s="25"/>
      <c r="P836" s="25"/>
      <c r="Q836" s="25"/>
      <c r="R836" s="25"/>
      <c r="S836" s="25"/>
      <c r="T836" s="25"/>
      <c r="U836" s="26"/>
      <c r="V836" s="27"/>
      <c r="W836" s="27"/>
      <c r="X836" s="27"/>
      <c r="Y836" s="27"/>
      <c r="Z836" s="27"/>
      <c r="AA836" s="27"/>
      <c r="AB836" s="27"/>
      <c r="AC836" s="27"/>
      <c r="AD836" s="27"/>
    </row>
    <row r="837" ht="15.75" customHeight="1">
      <c r="G837" s="23"/>
      <c r="K837" s="24"/>
      <c r="L837" s="24"/>
      <c r="N837" s="25"/>
      <c r="O837" s="25"/>
      <c r="P837" s="25"/>
      <c r="Q837" s="25"/>
      <c r="R837" s="25"/>
      <c r="S837" s="25"/>
      <c r="T837" s="25"/>
      <c r="U837" s="26"/>
      <c r="V837" s="27"/>
      <c r="W837" s="27"/>
      <c r="X837" s="27"/>
      <c r="Y837" s="27"/>
      <c r="Z837" s="27"/>
      <c r="AA837" s="27"/>
      <c r="AB837" s="27"/>
      <c r="AC837" s="27"/>
      <c r="AD837" s="27"/>
    </row>
    <row r="838" ht="15.75" customHeight="1">
      <c r="G838" s="23"/>
      <c r="K838" s="24"/>
      <c r="L838" s="24"/>
      <c r="N838" s="25"/>
      <c r="O838" s="25"/>
      <c r="P838" s="25"/>
      <c r="Q838" s="25"/>
      <c r="R838" s="25"/>
      <c r="S838" s="25"/>
      <c r="T838" s="25"/>
      <c r="U838" s="26"/>
      <c r="V838" s="27"/>
      <c r="W838" s="27"/>
      <c r="X838" s="27"/>
      <c r="Y838" s="27"/>
      <c r="Z838" s="27"/>
      <c r="AA838" s="27"/>
      <c r="AB838" s="27"/>
      <c r="AC838" s="27"/>
      <c r="AD838" s="27"/>
    </row>
    <row r="839" ht="15.75" customHeight="1">
      <c r="G839" s="23"/>
      <c r="K839" s="24"/>
      <c r="L839" s="24"/>
      <c r="N839" s="25"/>
      <c r="O839" s="25"/>
      <c r="P839" s="25"/>
      <c r="Q839" s="25"/>
      <c r="R839" s="25"/>
      <c r="S839" s="25"/>
      <c r="T839" s="25"/>
      <c r="U839" s="26"/>
      <c r="V839" s="27"/>
      <c r="W839" s="27"/>
      <c r="X839" s="27"/>
      <c r="Y839" s="27"/>
      <c r="Z839" s="27"/>
      <c r="AA839" s="27"/>
      <c r="AB839" s="27"/>
      <c r="AC839" s="27"/>
      <c r="AD839" s="27"/>
    </row>
    <row r="840" ht="15.75" customHeight="1">
      <c r="G840" s="23"/>
      <c r="K840" s="24"/>
      <c r="L840" s="24"/>
      <c r="N840" s="25"/>
      <c r="O840" s="25"/>
      <c r="P840" s="25"/>
      <c r="Q840" s="25"/>
      <c r="R840" s="25"/>
      <c r="S840" s="25"/>
      <c r="T840" s="25"/>
      <c r="U840" s="26"/>
      <c r="V840" s="27"/>
      <c r="W840" s="27"/>
      <c r="X840" s="27"/>
      <c r="Y840" s="27"/>
      <c r="Z840" s="27"/>
      <c r="AA840" s="27"/>
      <c r="AB840" s="27"/>
      <c r="AC840" s="27"/>
      <c r="AD840" s="27"/>
    </row>
    <row r="841" ht="15.75" customHeight="1">
      <c r="G841" s="23"/>
      <c r="K841" s="24"/>
      <c r="L841" s="24"/>
      <c r="N841" s="25"/>
      <c r="O841" s="25"/>
      <c r="P841" s="25"/>
      <c r="Q841" s="25"/>
      <c r="R841" s="25"/>
      <c r="S841" s="25"/>
      <c r="T841" s="25"/>
      <c r="U841" s="26"/>
      <c r="V841" s="27"/>
      <c r="W841" s="27"/>
      <c r="X841" s="27"/>
      <c r="Y841" s="27"/>
      <c r="Z841" s="27"/>
      <c r="AA841" s="27"/>
      <c r="AB841" s="27"/>
      <c r="AC841" s="27"/>
      <c r="AD841" s="27"/>
    </row>
    <row r="842" ht="15.75" customHeight="1">
      <c r="G842" s="23"/>
      <c r="K842" s="24"/>
      <c r="L842" s="24"/>
      <c r="N842" s="25"/>
      <c r="O842" s="25"/>
      <c r="P842" s="25"/>
      <c r="Q842" s="25"/>
      <c r="R842" s="25"/>
      <c r="S842" s="25"/>
      <c r="T842" s="25"/>
      <c r="U842" s="26"/>
      <c r="V842" s="27"/>
      <c r="W842" s="27"/>
      <c r="X842" s="27"/>
      <c r="Y842" s="27"/>
      <c r="Z842" s="27"/>
      <c r="AA842" s="27"/>
      <c r="AB842" s="27"/>
      <c r="AC842" s="27"/>
      <c r="AD842" s="27"/>
    </row>
    <row r="843" ht="15.75" customHeight="1">
      <c r="G843" s="23"/>
      <c r="K843" s="24"/>
      <c r="L843" s="24"/>
      <c r="N843" s="25"/>
      <c r="O843" s="25"/>
      <c r="P843" s="25"/>
      <c r="Q843" s="25"/>
      <c r="R843" s="25"/>
      <c r="S843" s="25"/>
      <c r="T843" s="25"/>
      <c r="U843" s="26"/>
      <c r="V843" s="27"/>
      <c r="W843" s="27"/>
      <c r="X843" s="27"/>
      <c r="Y843" s="27"/>
      <c r="Z843" s="27"/>
      <c r="AA843" s="27"/>
      <c r="AB843" s="27"/>
      <c r="AC843" s="27"/>
      <c r="AD843" s="27"/>
    </row>
    <row r="844" ht="15.75" customHeight="1">
      <c r="G844" s="23"/>
      <c r="K844" s="24"/>
      <c r="L844" s="24"/>
      <c r="N844" s="25"/>
      <c r="O844" s="25"/>
      <c r="P844" s="25"/>
      <c r="Q844" s="25"/>
      <c r="R844" s="25"/>
      <c r="S844" s="25"/>
      <c r="T844" s="25"/>
      <c r="U844" s="26"/>
      <c r="V844" s="27"/>
      <c r="W844" s="27"/>
      <c r="X844" s="27"/>
      <c r="Y844" s="27"/>
      <c r="Z844" s="27"/>
      <c r="AA844" s="27"/>
      <c r="AB844" s="27"/>
      <c r="AC844" s="27"/>
      <c r="AD844" s="27"/>
    </row>
    <row r="845" ht="15.75" customHeight="1">
      <c r="G845" s="23"/>
      <c r="K845" s="24"/>
      <c r="L845" s="24"/>
      <c r="N845" s="25"/>
      <c r="O845" s="25"/>
      <c r="P845" s="25"/>
      <c r="Q845" s="25"/>
      <c r="R845" s="25"/>
      <c r="S845" s="25"/>
      <c r="T845" s="25"/>
      <c r="U845" s="26"/>
      <c r="V845" s="27"/>
      <c r="W845" s="27"/>
      <c r="X845" s="27"/>
      <c r="Y845" s="27"/>
      <c r="Z845" s="27"/>
      <c r="AA845" s="27"/>
      <c r="AB845" s="27"/>
      <c r="AC845" s="27"/>
      <c r="AD845" s="27"/>
    </row>
    <row r="846" ht="15.75" customHeight="1">
      <c r="G846" s="23"/>
      <c r="K846" s="24"/>
      <c r="L846" s="24"/>
      <c r="N846" s="25"/>
      <c r="O846" s="25"/>
      <c r="P846" s="25"/>
      <c r="Q846" s="25"/>
      <c r="R846" s="25"/>
      <c r="S846" s="25"/>
      <c r="T846" s="25"/>
      <c r="U846" s="26"/>
      <c r="V846" s="27"/>
      <c r="W846" s="27"/>
      <c r="X846" s="27"/>
      <c r="Y846" s="27"/>
      <c r="Z846" s="27"/>
      <c r="AA846" s="27"/>
      <c r="AB846" s="27"/>
      <c r="AC846" s="27"/>
      <c r="AD846" s="27"/>
    </row>
    <row r="847" ht="15.75" customHeight="1">
      <c r="G847" s="23"/>
      <c r="K847" s="24"/>
      <c r="L847" s="24"/>
      <c r="N847" s="25"/>
      <c r="O847" s="25"/>
      <c r="P847" s="25"/>
      <c r="Q847" s="25"/>
      <c r="R847" s="25"/>
      <c r="S847" s="25"/>
      <c r="T847" s="25"/>
      <c r="U847" s="26"/>
      <c r="V847" s="27"/>
      <c r="W847" s="27"/>
      <c r="X847" s="27"/>
      <c r="Y847" s="27"/>
      <c r="Z847" s="27"/>
      <c r="AA847" s="27"/>
      <c r="AB847" s="27"/>
      <c r="AC847" s="27"/>
      <c r="AD847" s="27"/>
    </row>
    <row r="848" ht="15.75" customHeight="1">
      <c r="G848" s="23"/>
      <c r="K848" s="24"/>
      <c r="L848" s="24"/>
      <c r="N848" s="25"/>
      <c r="O848" s="25"/>
      <c r="P848" s="25"/>
      <c r="Q848" s="25"/>
      <c r="R848" s="25"/>
      <c r="S848" s="25"/>
      <c r="T848" s="25"/>
      <c r="U848" s="26"/>
      <c r="V848" s="27"/>
      <c r="W848" s="27"/>
      <c r="X848" s="27"/>
      <c r="Y848" s="27"/>
      <c r="Z848" s="27"/>
      <c r="AA848" s="27"/>
      <c r="AB848" s="27"/>
      <c r="AC848" s="27"/>
      <c r="AD848" s="27"/>
    </row>
    <row r="849" ht="15.75" customHeight="1">
      <c r="G849" s="23"/>
      <c r="K849" s="24"/>
      <c r="L849" s="24"/>
      <c r="N849" s="25"/>
      <c r="O849" s="25"/>
      <c r="P849" s="25"/>
      <c r="Q849" s="25"/>
      <c r="R849" s="25"/>
      <c r="S849" s="25"/>
      <c r="T849" s="25"/>
      <c r="U849" s="26"/>
      <c r="V849" s="27"/>
      <c r="W849" s="27"/>
      <c r="X849" s="27"/>
      <c r="Y849" s="27"/>
      <c r="Z849" s="27"/>
      <c r="AA849" s="27"/>
      <c r="AB849" s="27"/>
      <c r="AC849" s="27"/>
      <c r="AD849" s="27"/>
    </row>
    <row r="850" ht="15.75" customHeight="1">
      <c r="G850" s="23"/>
      <c r="K850" s="24"/>
      <c r="L850" s="24"/>
      <c r="N850" s="25"/>
      <c r="O850" s="25"/>
      <c r="P850" s="25"/>
      <c r="Q850" s="25"/>
      <c r="R850" s="25"/>
      <c r="S850" s="25"/>
      <c r="T850" s="25"/>
      <c r="U850" s="26"/>
      <c r="V850" s="27"/>
      <c r="W850" s="27"/>
      <c r="X850" s="27"/>
      <c r="Y850" s="27"/>
      <c r="Z850" s="27"/>
      <c r="AA850" s="27"/>
      <c r="AB850" s="27"/>
      <c r="AC850" s="27"/>
      <c r="AD850" s="27"/>
    </row>
    <row r="851" ht="15.75" customHeight="1">
      <c r="G851" s="23"/>
      <c r="K851" s="24"/>
      <c r="L851" s="24"/>
      <c r="N851" s="25"/>
      <c r="O851" s="25"/>
      <c r="P851" s="25"/>
      <c r="Q851" s="25"/>
      <c r="R851" s="25"/>
      <c r="S851" s="25"/>
      <c r="T851" s="25"/>
      <c r="U851" s="26"/>
      <c r="V851" s="27"/>
      <c r="W851" s="27"/>
      <c r="X851" s="27"/>
      <c r="Y851" s="27"/>
      <c r="Z851" s="27"/>
      <c r="AA851" s="27"/>
      <c r="AB851" s="27"/>
      <c r="AC851" s="27"/>
      <c r="AD851" s="27"/>
    </row>
    <row r="852" ht="15.75" customHeight="1">
      <c r="G852" s="23"/>
      <c r="K852" s="24"/>
      <c r="L852" s="24"/>
      <c r="N852" s="25"/>
      <c r="O852" s="25"/>
      <c r="P852" s="25"/>
      <c r="Q852" s="25"/>
      <c r="R852" s="25"/>
      <c r="S852" s="25"/>
      <c r="T852" s="25"/>
      <c r="U852" s="26"/>
      <c r="V852" s="27"/>
      <c r="W852" s="27"/>
      <c r="X852" s="27"/>
      <c r="Y852" s="27"/>
      <c r="Z852" s="27"/>
      <c r="AA852" s="27"/>
      <c r="AB852" s="27"/>
      <c r="AC852" s="27"/>
      <c r="AD852" s="27"/>
    </row>
    <row r="853" ht="15.75" customHeight="1">
      <c r="G853" s="23"/>
      <c r="K853" s="24"/>
      <c r="L853" s="24"/>
      <c r="N853" s="25"/>
      <c r="O853" s="25"/>
      <c r="P853" s="25"/>
      <c r="Q853" s="25"/>
      <c r="R853" s="25"/>
      <c r="S853" s="25"/>
      <c r="T853" s="25"/>
      <c r="U853" s="26"/>
      <c r="V853" s="27"/>
      <c r="W853" s="27"/>
      <c r="X853" s="27"/>
      <c r="Y853" s="27"/>
      <c r="Z853" s="27"/>
      <c r="AA853" s="27"/>
      <c r="AB853" s="27"/>
      <c r="AC853" s="27"/>
      <c r="AD853" s="27"/>
    </row>
    <row r="854" ht="15.75" customHeight="1">
      <c r="G854" s="23"/>
      <c r="K854" s="24"/>
      <c r="L854" s="24"/>
      <c r="N854" s="25"/>
      <c r="O854" s="25"/>
      <c r="P854" s="25"/>
      <c r="Q854" s="25"/>
      <c r="R854" s="25"/>
      <c r="S854" s="25"/>
      <c r="T854" s="25"/>
      <c r="U854" s="26"/>
      <c r="V854" s="27"/>
      <c r="W854" s="27"/>
      <c r="X854" s="27"/>
      <c r="Y854" s="27"/>
      <c r="Z854" s="27"/>
      <c r="AA854" s="27"/>
      <c r="AB854" s="27"/>
      <c r="AC854" s="27"/>
      <c r="AD854" s="27"/>
    </row>
    <row r="855" ht="15.75" customHeight="1">
      <c r="G855" s="23"/>
      <c r="K855" s="24"/>
      <c r="L855" s="24"/>
      <c r="N855" s="25"/>
      <c r="O855" s="25"/>
      <c r="P855" s="25"/>
      <c r="Q855" s="25"/>
      <c r="R855" s="25"/>
      <c r="S855" s="25"/>
      <c r="T855" s="25"/>
      <c r="U855" s="26"/>
      <c r="V855" s="27"/>
      <c r="W855" s="27"/>
      <c r="X855" s="27"/>
      <c r="Y855" s="27"/>
      <c r="Z855" s="27"/>
      <c r="AA855" s="27"/>
      <c r="AB855" s="27"/>
      <c r="AC855" s="27"/>
      <c r="AD855" s="27"/>
    </row>
    <row r="856" ht="15.75" customHeight="1">
      <c r="G856" s="23"/>
      <c r="K856" s="24"/>
      <c r="L856" s="24"/>
      <c r="N856" s="25"/>
      <c r="O856" s="25"/>
      <c r="P856" s="25"/>
      <c r="Q856" s="25"/>
      <c r="R856" s="25"/>
      <c r="S856" s="25"/>
      <c r="T856" s="25"/>
      <c r="U856" s="26"/>
      <c r="V856" s="27"/>
      <c r="W856" s="27"/>
      <c r="X856" s="27"/>
      <c r="Y856" s="27"/>
      <c r="Z856" s="27"/>
      <c r="AA856" s="27"/>
      <c r="AB856" s="27"/>
      <c r="AC856" s="27"/>
      <c r="AD856" s="27"/>
    </row>
    <row r="857" ht="15.75" customHeight="1">
      <c r="G857" s="23"/>
      <c r="K857" s="24"/>
      <c r="L857" s="24"/>
      <c r="N857" s="25"/>
      <c r="O857" s="25"/>
      <c r="P857" s="25"/>
      <c r="Q857" s="25"/>
      <c r="R857" s="25"/>
      <c r="S857" s="25"/>
      <c r="T857" s="25"/>
      <c r="U857" s="26"/>
      <c r="V857" s="27"/>
      <c r="W857" s="27"/>
      <c r="X857" s="27"/>
      <c r="Y857" s="27"/>
      <c r="Z857" s="27"/>
      <c r="AA857" s="27"/>
      <c r="AB857" s="27"/>
      <c r="AC857" s="27"/>
      <c r="AD857" s="27"/>
    </row>
    <row r="858" ht="15.75" customHeight="1">
      <c r="G858" s="23"/>
      <c r="K858" s="24"/>
      <c r="L858" s="24"/>
      <c r="N858" s="25"/>
      <c r="O858" s="25"/>
      <c r="P858" s="25"/>
      <c r="Q858" s="25"/>
      <c r="R858" s="25"/>
      <c r="S858" s="25"/>
      <c r="T858" s="25"/>
      <c r="U858" s="26"/>
      <c r="V858" s="27"/>
      <c r="W858" s="27"/>
      <c r="X858" s="27"/>
      <c r="Y858" s="27"/>
      <c r="Z858" s="27"/>
      <c r="AA858" s="27"/>
      <c r="AB858" s="27"/>
      <c r="AC858" s="27"/>
      <c r="AD858" s="27"/>
    </row>
    <row r="859" ht="15.75" customHeight="1">
      <c r="G859" s="23"/>
      <c r="K859" s="24"/>
      <c r="L859" s="24"/>
      <c r="N859" s="25"/>
      <c r="O859" s="25"/>
      <c r="P859" s="25"/>
      <c r="Q859" s="25"/>
      <c r="R859" s="25"/>
      <c r="S859" s="25"/>
      <c r="T859" s="25"/>
      <c r="U859" s="26"/>
      <c r="V859" s="27"/>
      <c r="W859" s="27"/>
      <c r="X859" s="27"/>
      <c r="Y859" s="27"/>
      <c r="Z859" s="27"/>
      <c r="AA859" s="27"/>
      <c r="AB859" s="27"/>
      <c r="AC859" s="27"/>
      <c r="AD859" s="27"/>
    </row>
    <row r="860" ht="15.75" customHeight="1">
      <c r="G860" s="23"/>
      <c r="K860" s="24"/>
      <c r="L860" s="24"/>
      <c r="N860" s="25"/>
      <c r="O860" s="25"/>
      <c r="P860" s="25"/>
      <c r="Q860" s="25"/>
      <c r="R860" s="25"/>
      <c r="S860" s="25"/>
      <c r="T860" s="25"/>
      <c r="U860" s="26"/>
      <c r="V860" s="27"/>
      <c r="W860" s="27"/>
      <c r="X860" s="27"/>
      <c r="Y860" s="27"/>
      <c r="Z860" s="27"/>
      <c r="AA860" s="27"/>
      <c r="AB860" s="27"/>
      <c r="AC860" s="27"/>
      <c r="AD860" s="27"/>
    </row>
    <row r="861" ht="15.75" customHeight="1">
      <c r="G861" s="23"/>
      <c r="K861" s="24"/>
      <c r="L861" s="24"/>
      <c r="N861" s="25"/>
      <c r="O861" s="25"/>
      <c r="P861" s="25"/>
      <c r="Q861" s="25"/>
      <c r="R861" s="25"/>
      <c r="S861" s="25"/>
      <c r="T861" s="25"/>
      <c r="U861" s="26"/>
      <c r="V861" s="27"/>
      <c r="W861" s="27"/>
      <c r="X861" s="27"/>
      <c r="Y861" s="27"/>
      <c r="Z861" s="27"/>
      <c r="AA861" s="27"/>
      <c r="AB861" s="27"/>
      <c r="AC861" s="27"/>
      <c r="AD861" s="27"/>
    </row>
    <row r="862" ht="15.75" customHeight="1">
      <c r="G862" s="23"/>
      <c r="K862" s="24"/>
      <c r="L862" s="24"/>
      <c r="N862" s="25"/>
      <c r="O862" s="25"/>
      <c r="P862" s="25"/>
      <c r="Q862" s="25"/>
      <c r="R862" s="25"/>
      <c r="S862" s="25"/>
      <c r="T862" s="25"/>
      <c r="U862" s="26"/>
      <c r="V862" s="27"/>
      <c r="W862" s="27"/>
      <c r="X862" s="27"/>
      <c r="Y862" s="27"/>
      <c r="Z862" s="27"/>
      <c r="AA862" s="27"/>
      <c r="AB862" s="27"/>
      <c r="AC862" s="27"/>
      <c r="AD862" s="27"/>
    </row>
    <row r="863" ht="15.75" customHeight="1">
      <c r="G863" s="23"/>
      <c r="K863" s="24"/>
      <c r="L863" s="24"/>
      <c r="N863" s="25"/>
      <c r="O863" s="25"/>
      <c r="P863" s="25"/>
      <c r="Q863" s="25"/>
      <c r="R863" s="25"/>
      <c r="S863" s="25"/>
      <c r="T863" s="25"/>
      <c r="U863" s="26"/>
      <c r="V863" s="27"/>
      <c r="W863" s="27"/>
      <c r="X863" s="27"/>
      <c r="Y863" s="27"/>
      <c r="Z863" s="27"/>
      <c r="AA863" s="27"/>
      <c r="AB863" s="27"/>
      <c r="AC863" s="27"/>
      <c r="AD863" s="27"/>
    </row>
    <row r="864" ht="15.75" customHeight="1">
      <c r="G864" s="23"/>
      <c r="K864" s="24"/>
      <c r="L864" s="24"/>
      <c r="N864" s="25"/>
      <c r="O864" s="25"/>
      <c r="P864" s="25"/>
      <c r="Q864" s="25"/>
      <c r="R864" s="25"/>
      <c r="S864" s="25"/>
      <c r="T864" s="25"/>
      <c r="U864" s="26"/>
      <c r="V864" s="27"/>
      <c r="W864" s="27"/>
      <c r="X864" s="27"/>
      <c r="Y864" s="27"/>
      <c r="Z864" s="27"/>
      <c r="AA864" s="27"/>
      <c r="AB864" s="27"/>
      <c r="AC864" s="27"/>
      <c r="AD864" s="27"/>
    </row>
    <row r="865" ht="15.75" customHeight="1">
      <c r="G865" s="23"/>
      <c r="K865" s="24"/>
      <c r="L865" s="24"/>
      <c r="N865" s="25"/>
      <c r="O865" s="25"/>
      <c r="P865" s="25"/>
      <c r="Q865" s="25"/>
      <c r="R865" s="25"/>
      <c r="S865" s="25"/>
      <c r="T865" s="25"/>
      <c r="U865" s="26"/>
      <c r="V865" s="27"/>
      <c r="W865" s="27"/>
      <c r="X865" s="27"/>
      <c r="Y865" s="27"/>
      <c r="Z865" s="27"/>
      <c r="AA865" s="27"/>
      <c r="AB865" s="27"/>
      <c r="AC865" s="27"/>
      <c r="AD865" s="27"/>
    </row>
    <row r="866" ht="15.75" customHeight="1">
      <c r="G866" s="23"/>
      <c r="K866" s="24"/>
      <c r="L866" s="24"/>
      <c r="N866" s="25"/>
      <c r="O866" s="25"/>
      <c r="P866" s="25"/>
      <c r="Q866" s="25"/>
      <c r="R866" s="25"/>
      <c r="S866" s="25"/>
      <c r="T866" s="25"/>
      <c r="U866" s="26"/>
      <c r="V866" s="27"/>
      <c r="W866" s="27"/>
      <c r="X866" s="27"/>
      <c r="Y866" s="27"/>
      <c r="Z866" s="27"/>
      <c r="AA866" s="27"/>
      <c r="AB866" s="27"/>
      <c r="AC866" s="27"/>
      <c r="AD866" s="27"/>
    </row>
    <row r="867" ht="15.75" customHeight="1">
      <c r="G867" s="23"/>
      <c r="K867" s="24"/>
      <c r="L867" s="24"/>
      <c r="N867" s="25"/>
      <c r="O867" s="25"/>
      <c r="P867" s="25"/>
      <c r="Q867" s="25"/>
      <c r="R867" s="25"/>
      <c r="S867" s="25"/>
      <c r="T867" s="25"/>
      <c r="U867" s="26"/>
      <c r="V867" s="27"/>
      <c r="W867" s="27"/>
      <c r="X867" s="27"/>
      <c r="Y867" s="27"/>
      <c r="Z867" s="27"/>
      <c r="AA867" s="27"/>
      <c r="AB867" s="27"/>
      <c r="AC867" s="27"/>
      <c r="AD867" s="27"/>
    </row>
    <row r="868" ht="15.75" customHeight="1">
      <c r="G868" s="23"/>
      <c r="K868" s="24"/>
      <c r="L868" s="24"/>
      <c r="N868" s="25"/>
      <c r="O868" s="25"/>
      <c r="P868" s="25"/>
      <c r="Q868" s="25"/>
      <c r="R868" s="25"/>
      <c r="S868" s="25"/>
      <c r="T868" s="25"/>
      <c r="U868" s="26"/>
      <c r="V868" s="27"/>
      <c r="W868" s="27"/>
      <c r="X868" s="27"/>
      <c r="Y868" s="27"/>
      <c r="Z868" s="27"/>
      <c r="AA868" s="27"/>
      <c r="AB868" s="27"/>
      <c r="AC868" s="27"/>
      <c r="AD868" s="27"/>
    </row>
    <row r="869" ht="15.75" customHeight="1">
      <c r="G869" s="23"/>
      <c r="K869" s="24"/>
      <c r="L869" s="24"/>
      <c r="N869" s="25"/>
      <c r="O869" s="25"/>
      <c r="P869" s="25"/>
      <c r="Q869" s="25"/>
      <c r="R869" s="25"/>
      <c r="S869" s="25"/>
      <c r="T869" s="25"/>
      <c r="U869" s="26"/>
      <c r="V869" s="27"/>
      <c r="W869" s="27"/>
      <c r="X869" s="27"/>
      <c r="Y869" s="27"/>
      <c r="Z869" s="27"/>
      <c r="AA869" s="27"/>
      <c r="AB869" s="27"/>
      <c r="AC869" s="27"/>
      <c r="AD869" s="27"/>
    </row>
    <row r="870" ht="15.75" customHeight="1">
      <c r="G870" s="23"/>
      <c r="K870" s="24"/>
      <c r="L870" s="24"/>
      <c r="N870" s="25"/>
      <c r="O870" s="25"/>
      <c r="P870" s="25"/>
      <c r="Q870" s="25"/>
      <c r="R870" s="25"/>
      <c r="S870" s="25"/>
      <c r="T870" s="25"/>
      <c r="U870" s="26"/>
      <c r="V870" s="27"/>
      <c r="W870" s="27"/>
      <c r="X870" s="27"/>
      <c r="Y870" s="27"/>
      <c r="Z870" s="27"/>
      <c r="AA870" s="27"/>
      <c r="AB870" s="27"/>
      <c r="AC870" s="27"/>
      <c r="AD870" s="27"/>
    </row>
    <row r="871" ht="15.75" customHeight="1">
      <c r="G871" s="23"/>
      <c r="K871" s="24"/>
      <c r="L871" s="24"/>
      <c r="N871" s="25"/>
      <c r="O871" s="25"/>
      <c r="P871" s="25"/>
      <c r="Q871" s="25"/>
      <c r="R871" s="25"/>
      <c r="S871" s="25"/>
      <c r="T871" s="25"/>
      <c r="U871" s="26"/>
      <c r="V871" s="27"/>
      <c r="W871" s="27"/>
      <c r="X871" s="27"/>
      <c r="Y871" s="27"/>
      <c r="Z871" s="27"/>
      <c r="AA871" s="27"/>
      <c r="AB871" s="27"/>
      <c r="AC871" s="27"/>
      <c r="AD871" s="27"/>
    </row>
    <row r="872" ht="15.75" customHeight="1">
      <c r="G872" s="23"/>
      <c r="K872" s="24"/>
      <c r="L872" s="24"/>
      <c r="N872" s="25"/>
      <c r="O872" s="25"/>
      <c r="P872" s="25"/>
      <c r="Q872" s="25"/>
      <c r="R872" s="25"/>
      <c r="S872" s="25"/>
      <c r="T872" s="25"/>
      <c r="U872" s="26"/>
      <c r="V872" s="27"/>
      <c r="W872" s="27"/>
      <c r="X872" s="27"/>
      <c r="Y872" s="27"/>
      <c r="Z872" s="27"/>
      <c r="AA872" s="27"/>
      <c r="AB872" s="27"/>
      <c r="AC872" s="27"/>
      <c r="AD872" s="27"/>
    </row>
    <row r="873" ht="15.75" customHeight="1">
      <c r="G873" s="23"/>
      <c r="K873" s="24"/>
      <c r="L873" s="24"/>
      <c r="N873" s="25"/>
      <c r="O873" s="25"/>
      <c r="P873" s="25"/>
      <c r="Q873" s="25"/>
      <c r="R873" s="25"/>
      <c r="S873" s="25"/>
      <c r="T873" s="25"/>
      <c r="U873" s="26"/>
      <c r="V873" s="27"/>
      <c r="W873" s="27"/>
      <c r="X873" s="27"/>
      <c r="Y873" s="27"/>
      <c r="Z873" s="27"/>
      <c r="AA873" s="27"/>
      <c r="AB873" s="27"/>
      <c r="AC873" s="27"/>
      <c r="AD873" s="27"/>
    </row>
    <row r="874" ht="15.75" customHeight="1">
      <c r="G874" s="23"/>
      <c r="K874" s="24"/>
      <c r="L874" s="24"/>
      <c r="N874" s="25"/>
      <c r="O874" s="25"/>
      <c r="P874" s="25"/>
      <c r="Q874" s="25"/>
      <c r="R874" s="25"/>
      <c r="S874" s="25"/>
      <c r="T874" s="25"/>
      <c r="U874" s="26"/>
      <c r="V874" s="27"/>
      <c r="W874" s="27"/>
      <c r="X874" s="27"/>
      <c r="Y874" s="27"/>
      <c r="Z874" s="27"/>
      <c r="AA874" s="27"/>
      <c r="AB874" s="27"/>
      <c r="AC874" s="27"/>
      <c r="AD874" s="27"/>
    </row>
    <row r="875" ht="15.75" customHeight="1">
      <c r="G875" s="23"/>
      <c r="K875" s="24"/>
      <c r="L875" s="24"/>
      <c r="N875" s="25"/>
      <c r="O875" s="25"/>
      <c r="P875" s="25"/>
      <c r="Q875" s="25"/>
      <c r="R875" s="25"/>
      <c r="S875" s="25"/>
      <c r="T875" s="25"/>
      <c r="U875" s="26"/>
      <c r="V875" s="27"/>
      <c r="W875" s="27"/>
      <c r="X875" s="27"/>
      <c r="Y875" s="27"/>
      <c r="Z875" s="27"/>
      <c r="AA875" s="27"/>
      <c r="AB875" s="27"/>
      <c r="AC875" s="27"/>
      <c r="AD875" s="27"/>
    </row>
    <row r="876" ht="15.75" customHeight="1">
      <c r="G876" s="23"/>
      <c r="K876" s="24"/>
      <c r="L876" s="24"/>
      <c r="N876" s="25"/>
      <c r="O876" s="25"/>
      <c r="P876" s="25"/>
      <c r="Q876" s="25"/>
      <c r="R876" s="25"/>
      <c r="S876" s="25"/>
      <c r="T876" s="25"/>
      <c r="U876" s="26"/>
      <c r="V876" s="27"/>
      <c r="W876" s="27"/>
      <c r="X876" s="27"/>
      <c r="Y876" s="27"/>
      <c r="Z876" s="27"/>
      <c r="AA876" s="27"/>
      <c r="AB876" s="27"/>
      <c r="AC876" s="27"/>
      <c r="AD876" s="27"/>
    </row>
    <row r="877" ht="15.75" customHeight="1">
      <c r="G877" s="23"/>
      <c r="K877" s="24"/>
      <c r="L877" s="24"/>
      <c r="N877" s="25"/>
      <c r="O877" s="25"/>
      <c r="P877" s="25"/>
      <c r="Q877" s="25"/>
      <c r="R877" s="25"/>
      <c r="S877" s="25"/>
      <c r="T877" s="25"/>
      <c r="U877" s="26"/>
      <c r="V877" s="27"/>
      <c r="W877" s="27"/>
      <c r="X877" s="27"/>
      <c r="Y877" s="27"/>
      <c r="Z877" s="27"/>
      <c r="AA877" s="27"/>
      <c r="AB877" s="27"/>
      <c r="AC877" s="27"/>
      <c r="AD877" s="27"/>
    </row>
    <row r="878" ht="15.75" customHeight="1">
      <c r="G878" s="23"/>
      <c r="K878" s="24"/>
      <c r="L878" s="24"/>
      <c r="N878" s="25"/>
      <c r="O878" s="25"/>
      <c r="P878" s="25"/>
      <c r="Q878" s="25"/>
      <c r="R878" s="25"/>
      <c r="S878" s="25"/>
      <c r="T878" s="25"/>
      <c r="U878" s="26"/>
      <c r="V878" s="27"/>
      <c r="W878" s="27"/>
      <c r="X878" s="27"/>
      <c r="Y878" s="27"/>
      <c r="Z878" s="27"/>
      <c r="AA878" s="27"/>
      <c r="AB878" s="27"/>
      <c r="AC878" s="27"/>
      <c r="AD878" s="27"/>
    </row>
    <row r="879" ht="15.75" customHeight="1">
      <c r="G879" s="23"/>
      <c r="K879" s="24"/>
      <c r="L879" s="24"/>
      <c r="N879" s="25"/>
      <c r="O879" s="25"/>
      <c r="P879" s="25"/>
      <c r="Q879" s="25"/>
      <c r="R879" s="25"/>
      <c r="S879" s="25"/>
      <c r="T879" s="25"/>
      <c r="U879" s="26"/>
      <c r="V879" s="27"/>
      <c r="W879" s="27"/>
      <c r="X879" s="27"/>
      <c r="Y879" s="27"/>
      <c r="Z879" s="27"/>
      <c r="AA879" s="27"/>
      <c r="AB879" s="27"/>
      <c r="AC879" s="27"/>
      <c r="AD879" s="27"/>
    </row>
    <row r="880" ht="15.75" customHeight="1">
      <c r="G880" s="23"/>
      <c r="K880" s="24"/>
      <c r="L880" s="24"/>
      <c r="N880" s="25"/>
      <c r="O880" s="25"/>
      <c r="P880" s="25"/>
      <c r="Q880" s="25"/>
      <c r="R880" s="25"/>
      <c r="S880" s="25"/>
      <c r="T880" s="25"/>
      <c r="U880" s="26"/>
      <c r="V880" s="27"/>
      <c r="W880" s="27"/>
      <c r="X880" s="27"/>
      <c r="Y880" s="27"/>
      <c r="Z880" s="27"/>
      <c r="AA880" s="27"/>
      <c r="AB880" s="27"/>
      <c r="AC880" s="27"/>
      <c r="AD880" s="27"/>
    </row>
    <row r="881" ht="15.75" customHeight="1">
      <c r="G881" s="23"/>
      <c r="K881" s="24"/>
      <c r="L881" s="24"/>
      <c r="N881" s="25"/>
      <c r="O881" s="25"/>
      <c r="P881" s="25"/>
      <c r="Q881" s="25"/>
      <c r="R881" s="25"/>
      <c r="S881" s="25"/>
      <c r="T881" s="25"/>
      <c r="U881" s="26"/>
      <c r="V881" s="27"/>
      <c r="W881" s="27"/>
      <c r="X881" s="27"/>
      <c r="Y881" s="27"/>
      <c r="Z881" s="27"/>
      <c r="AA881" s="27"/>
      <c r="AB881" s="27"/>
      <c r="AC881" s="27"/>
      <c r="AD881" s="27"/>
    </row>
    <row r="882" ht="15.75" customHeight="1">
      <c r="G882" s="23"/>
      <c r="K882" s="24"/>
      <c r="L882" s="24"/>
      <c r="N882" s="25"/>
      <c r="O882" s="25"/>
      <c r="P882" s="25"/>
      <c r="Q882" s="25"/>
      <c r="R882" s="25"/>
      <c r="S882" s="25"/>
      <c r="T882" s="25"/>
      <c r="U882" s="26"/>
      <c r="V882" s="27"/>
      <c r="W882" s="27"/>
      <c r="X882" s="27"/>
      <c r="Y882" s="27"/>
      <c r="Z882" s="27"/>
      <c r="AA882" s="27"/>
      <c r="AB882" s="27"/>
      <c r="AC882" s="27"/>
      <c r="AD882" s="27"/>
    </row>
    <row r="883" ht="15.75" customHeight="1">
      <c r="G883" s="23"/>
      <c r="K883" s="24"/>
      <c r="L883" s="24"/>
      <c r="N883" s="25"/>
      <c r="O883" s="25"/>
      <c r="P883" s="25"/>
      <c r="Q883" s="25"/>
      <c r="R883" s="25"/>
      <c r="S883" s="25"/>
      <c r="T883" s="25"/>
      <c r="U883" s="26"/>
      <c r="V883" s="27"/>
      <c r="W883" s="27"/>
      <c r="X883" s="27"/>
      <c r="Y883" s="27"/>
      <c r="Z883" s="27"/>
      <c r="AA883" s="27"/>
      <c r="AB883" s="27"/>
      <c r="AC883" s="27"/>
      <c r="AD883" s="27"/>
    </row>
    <row r="884" ht="15.75" customHeight="1">
      <c r="G884" s="23"/>
      <c r="K884" s="24"/>
      <c r="L884" s="24"/>
      <c r="N884" s="25"/>
      <c r="O884" s="25"/>
      <c r="P884" s="25"/>
      <c r="Q884" s="25"/>
      <c r="R884" s="25"/>
      <c r="S884" s="25"/>
      <c r="T884" s="25"/>
      <c r="U884" s="26"/>
      <c r="V884" s="27"/>
      <c r="W884" s="27"/>
      <c r="X884" s="27"/>
      <c r="Y884" s="27"/>
      <c r="Z884" s="27"/>
      <c r="AA884" s="27"/>
      <c r="AB884" s="27"/>
      <c r="AC884" s="27"/>
      <c r="AD884" s="27"/>
    </row>
    <row r="885" ht="15.75" customHeight="1">
      <c r="G885" s="23"/>
      <c r="K885" s="24"/>
      <c r="L885" s="24"/>
      <c r="N885" s="25"/>
      <c r="O885" s="25"/>
      <c r="P885" s="25"/>
      <c r="Q885" s="25"/>
      <c r="R885" s="25"/>
      <c r="S885" s="25"/>
      <c r="T885" s="25"/>
      <c r="U885" s="26"/>
      <c r="V885" s="27"/>
      <c r="W885" s="27"/>
      <c r="X885" s="27"/>
      <c r="Y885" s="27"/>
      <c r="Z885" s="27"/>
      <c r="AA885" s="27"/>
      <c r="AB885" s="27"/>
      <c r="AC885" s="27"/>
      <c r="AD885" s="27"/>
    </row>
    <row r="886" ht="15.75" customHeight="1">
      <c r="G886" s="23"/>
      <c r="K886" s="24"/>
      <c r="L886" s="24"/>
      <c r="N886" s="25"/>
      <c r="O886" s="25"/>
      <c r="P886" s="25"/>
      <c r="Q886" s="25"/>
      <c r="R886" s="25"/>
      <c r="S886" s="25"/>
      <c r="T886" s="25"/>
      <c r="U886" s="26"/>
      <c r="V886" s="27"/>
      <c r="W886" s="27"/>
      <c r="X886" s="27"/>
      <c r="Y886" s="27"/>
      <c r="Z886" s="27"/>
      <c r="AA886" s="27"/>
      <c r="AB886" s="27"/>
      <c r="AC886" s="27"/>
      <c r="AD886" s="27"/>
    </row>
    <row r="887" ht="15.75" customHeight="1">
      <c r="G887" s="23"/>
      <c r="K887" s="24"/>
      <c r="L887" s="24"/>
      <c r="N887" s="25"/>
      <c r="O887" s="25"/>
      <c r="P887" s="25"/>
      <c r="Q887" s="25"/>
      <c r="R887" s="25"/>
      <c r="S887" s="25"/>
      <c r="T887" s="25"/>
      <c r="U887" s="26"/>
      <c r="V887" s="27"/>
      <c r="W887" s="27"/>
      <c r="X887" s="27"/>
      <c r="Y887" s="27"/>
      <c r="Z887" s="27"/>
      <c r="AA887" s="27"/>
      <c r="AB887" s="27"/>
      <c r="AC887" s="27"/>
      <c r="AD887" s="27"/>
    </row>
    <row r="888" ht="15.75" customHeight="1">
      <c r="G888" s="23"/>
      <c r="K888" s="24"/>
      <c r="L888" s="24"/>
      <c r="N888" s="25"/>
      <c r="O888" s="25"/>
      <c r="P888" s="25"/>
      <c r="Q888" s="25"/>
      <c r="R888" s="25"/>
      <c r="S888" s="25"/>
      <c r="T888" s="25"/>
      <c r="U888" s="26"/>
      <c r="V888" s="27"/>
      <c r="W888" s="27"/>
      <c r="X888" s="27"/>
      <c r="Y888" s="27"/>
      <c r="Z888" s="27"/>
      <c r="AA888" s="27"/>
      <c r="AB888" s="27"/>
      <c r="AC888" s="27"/>
      <c r="AD888" s="27"/>
    </row>
    <row r="889" ht="15.75" customHeight="1">
      <c r="G889" s="23"/>
      <c r="K889" s="24"/>
      <c r="L889" s="24"/>
      <c r="N889" s="25"/>
      <c r="O889" s="25"/>
      <c r="P889" s="25"/>
      <c r="Q889" s="25"/>
      <c r="R889" s="25"/>
      <c r="S889" s="25"/>
      <c r="T889" s="25"/>
      <c r="U889" s="26"/>
      <c r="V889" s="27"/>
      <c r="W889" s="27"/>
      <c r="X889" s="27"/>
      <c r="Y889" s="27"/>
      <c r="Z889" s="27"/>
      <c r="AA889" s="27"/>
      <c r="AB889" s="27"/>
      <c r="AC889" s="27"/>
      <c r="AD889" s="27"/>
    </row>
    <row r="890" ht="15.75" customHeight="1">
      <c r="G890" s="23"/>
      <c r="K890" s="24"/>
      <c r="L890" s="24"/>
      <c r="N890" s="25"/>
      <c r="O890" s="25"/>
      <c r="P890" s="25"/>
      <c r="Q890" s="25"/>
      <c r="R890" s="25"/>
      <c r="S890" s="25"/>
      <c r="T890" s="25"/>
      <c r="U890" s="26"/>
      <c r="V890" s="27"/>
      <c r="W890" s="27"/>
      <c r="X890" s="27"/>
      <c r="Y890" s="27"/>
      <c r="Z890" s="27"/>
      <c r="AA890" s="27"/>
      <c r="AB890" s="27"/>
      <c r="AC890" s="27"/>
      <c r="AD890" s="27"/>
    </row>
    <row r="891" ht="15.75" customHeight="1">
      <c r="G891" s="23"/>
      <c r="K891" s="24"/>
      <c r="L891" s="24"/>
      <c r="N891" s="25"/>
      <c r="O891" s="25"/>
      <c r="P891" s="25"/>
      <c r="Q891" s="25"/>
      <c r="R891" s="25"/>
      <c r="S891" s="25"/>
      <c r="T891" s="25"/>
      <c r="U891" s="26"/>
      <c r="V891" s="27"/>
      <c r="W891" s="27"/>
      <c r="X891" s="27"/>
      <c r="Y891" s="27"/>
      <c r="Z891" s="27"/>
      <c r="AA891" s="27"/>
      <c r="AB891" s="27"/>
      <c r="AC891" s="27"/>
      <c r="AD891" s="27"/>
    </row>
    <row r="892" ht="15.75" customHeight="1">
      <c r="G892" s="23"/>
      <c r="K892" s="24"/>
      <c r="L892" s="24"/>
      <c r="N892" s="25"/>
      <c r="O892" s="25"/>
      <c r="P892" s="25"/>
      <c r="Q892" s="25"/>
      <c r="R892" s="25"/>
      <c r="S892" s="25"/>
      <c r="T892" s="25"/>
      <c r="U892" s="26"/>
      <c r="V892" s="27"/>
      <c r="W892" s="27"/>
      <c r="X892" s="27"/>
      <c r="Y892" s="27"/>
      <c r="Z892" s="27"/>
      <c r="AA892" s="27"/>
      <c r="AB892" s="27"/>
      <c r="AC892" s="27"/>
      <c r="AD892" s="27"/>
    </row>
    <row r="893" ht="15.75" customHeight="1">
      <c r="G893" s="23"/>
      <c r="K893" s="24"/>
      <c r="L893" s="24"/>
      <c r="N893" s="25"/>
      <c r="O893" s="25"/>
      <c r="P893" s="25"/>
      <c r="Q893" s="25"/>
      <c r="R893" s="25"/>
      <c r="S893" s="25"/>
      <c r="T893" s="25"/>
      <c r="U893" s="26"/>
      <c r="V893" s="27"/>
      <c r="W893" s="27"/>
      <c r="X893" s="27"/>
      <c r="Y893" s="27"/>
      <c r="Z893" s="27"/>
      <c r="AA893" s="27"/>
      <c r="AB893" s="27"/>
      <c r="AC893" s="27"/>
      <c r="AD893" s="27"/>
    </row>
    <row r="894" ht="15.75" customHeight="1">
      <c r="G894" s="23"/>
      <c r="K894" s="24"/>
      <c r="L894" s="24"/>
      <c r="N894" s="25"/>
      <c r="O894" s="25"/>
      <c r="P894" s="25"/>
      <c r="Q894" s="25"/>
      <c r="R894" s="25"/>
      <c r="S894" s="25"/>
      <c r="T894" s="25"/>
      <c r="U894" s="26"/>
      <c r="V894" s="27"/>
      <c r="W894" s="27"/>
      <c r="X894" s="27"/>
      <c r="Y894" s="27"/>
      <c r="Z894" s="27"/>
      <c r="AA894" s="27"/>
      <c r="AB894" s="27"/>
      <c r="AC894" s="27"/>
      <c r="AD894" s="27"/>
    </row>
    <row r="895" ht="15.75" customHeight="1">
      <c r="G895" s="23"/>
      <c r="K895" s="24"/>
      <c r="L895" s="24"/>
      <c r="N895" s="25"/>
      <c r="O895" s="25"/>
      <c r="P895" s="25"/>
      <c r="Q895" s="25"/>
      <c r="R895" s="25"/>
      <c r="S895" s="25"/>
      <c r="T895" s="25"/>
      <c r="U895" s="26"/>
      <c r="V895" s="27"/>
      <c r="W895" s="27"/>
      <c r="X895" s="27"/>
      <c r="Y895" s="27"/>
      <c r="Z895" s="27"/>
      <c r="AA895" s="27"/>
      <c r="AB895" s="27"/>
      <c r="AC895" s="27"/>
      <c r="AD895" s="27"/>
    </row>
    <row r="896" ht="15.75" customHeight="1">
      <c r="G896" s="23"/>
      <c r="K896" s="24"/>
      <c r="L896" s="24"/>
      <c r="N896" s="25"/>
      <c r="O896" s="25"/>
      <c r="P896" s="25"/>
      <c r="Q896" s="25"/>
      <c r="R896" s="25"/>
      <c r="S896" s="25"/>
      <c r="T896" s="25"/>
      <c r="U896" s="26"/>
      <c r="V896" s="27"/>
      <c r="W896" s="27"/>
      <c r="X896" s="27"/>
      <c r="Y896" s="27"/>
      <c r="Z896" s="27"/>
      <c r="AA896" s="27"/>
      <c r="AB896" s="27"/>
      <c r="AC896" s="27"/>
      <c r="AD896" s="27"/>
    </row>
    <row r="897" ht="15.75" customHeight="1">
      <c r="G897" s="23"/>
      <c r="K897" s="24"/>
      <c r="L897" s="24"/>
      <c r="N897" s="25"/>
      <c r="O897" s="25"/>
      <c r="P897" s="25"/>
      <c r="Q897" s="25"/>
      <c r="R897" s="25"/>
      <c r="S897" s="25"/>
      <c r="T897" s="25"/>
      <c r="U897" s="26"/>
      <c r="V897" s="27"/>
      <c r="W897" s="27"/>
      <c r="X897" s="27"/>
      <c r="Y897" s="27"/>
      <c r="Z897" s="27"/>
      <c r="AA897" s="27"/>
      <c r="AB897" s="27"/>
      <c r="AC897" s="27"/>
      <c r="AD897" s="27"/>
    </row>
    <row r="898" ht="15.75" customHeight="1">
      <c r="G898" s="23"/>
      <c r="K898" s="24"/>
      <c r="L898" s="24"/>
      <c r="N898" s="25"/>
      <c r="O898" s="25"/>
      <c r="P898" s="25"/>
      <c r="Q898" s="25"/>
      <c r="R898" s="25"/>
      <c r="S898" s="25"/>
      <c r="T898" s="25"/>
      <c r="U898" s="26"/>
      <c r="V898" s="27"/>
      <c r="W898" s="27"/>
      <c r="X898" s="27"/>
      <c r="Y898" s="27"/>
      <c r="Z898" s="27"/>
      <c r="AA898" s="27"/>
      <c r="AB898" s="27"/>
      <c r="AC898" s="27"/>
      <c r="AD898" s="27"/>
    </row>
    <row r="899" ht="15.75" customHeight="1">
      <c r="G899" s="23"/>
      <c r="K899" s="24"/>
      <c r="L899" s="24"/>
      <c r="N899" s="25"/>
      <c r="O899" s="25"/>
      <c r="P899" s="25"/>
      <c r="Q899" s="25"/>
      <c r="R899" s="25"/>
      <c r="S899" s="25"/>
      <c r="T899" s="25"/>
      <c r="U899" s="26"/>
      <c r="V899" s="27"/>
      <c r="W899" s="27"/>
      <c r="X899" s="27"/>
      <c r="Y899" s="27"/>
      <c r="Z899" s="27"/>
      <c r="AA899" s="27"/>
      <c r="AB899" s="27"/>
      <c r="AC899" s="27"/>
      <c r="AD899" s="27"/>
    </row>
    <row r="900" ht="15.75" customHeight="1">
      <c r="G900" s="23"/>
      <c r="K900" s="24"/>
      <c r="L900" s="24"/>
      <c r="N900" s="25"/>
      <c r="O900" s="25"/>
      <c r="P900" s="25"/>
      <c r="Q900" s="25"/>
      <c r="R900" s="25"/>
      <c r="S900" s="25"/>
      <c r="T900" s="25"/>
      <c r="U900" s="26"/>
      <c r="V900" s="27"/>
      <c r="W900" s="27"/>
      <c r="X900" s="27"/>
      <c r="Y900" s="27"/>
      <c r="Z900" s="27"/>
      <c r="AA900" s="27"/>
      <c r="AB900" s="27"/>
      <c r="AC900" s="27"/>
      <c r="AD900" s="27"/>
    </row>
    <row r="901" ht="15.75" customHeight="1">
      <c r="G901" s="23"/>
      <c r="K901" s="24"/>
      <c r="L901" s="24"/>
      <c r="N901" s="25"/>
      <c r="O901" s="25"/>
      <c r="P901" s="25"/>
      <c r="Q901" s="25"/>
      <c r="R901" s="25"/>
      <c r="S901" s="25"/>
      <c r="T901" s="25"/>
      <c r="U901" s="26"/>
      <c r="V901" s="27"/>
      <c r="W901" s="27"/>
      <c r="X901" s="27"/>
      <c r="Y901" s="27"/>
      <c r="Z901" s="27"/>
      <c r="AA901" s="27"/>
      <c r="AB901" s="27"/>
      <c r="AC901" s="27"/>
      <c r="AD901" s="27"/>
    </row>
    <row r="902" ht="15.75" customHeight="1">
      <c r="G902" s="23"/>
      <c r="K902" s="24"/>
      <c r="L902" s="24"/>
      <c r="N902" s="25"/>
      <c r="O902" s="25"/>
      <c r="P902" s="25"/>
      <c r="Q902" s="25"/>
      <c r="R902" s="25"/>
      <c r="S902" s="25"/>
      <c r="T902" s="25"/>
      <c r="U902" s="26"/>
      <c r="V902" s="27"/>
      <c r="W902" s="27"/>
      <c r="X902" s="27"/>
      <c r="Y902" s="27"/>
      <c r="Z902" s="27"/>
      <c r="AA902" s="27"/>
      <c r="AB902" s="27"/>
      <c r="AC902" s="27"/>
      <c r="AD902" s="27"/>
    </row>
    <row r="903" ht="15.75" customHeight="1">
      <c r="G903" s="23"/>
      <c r="K903" s="24"/>
      <c r="L903" s="24"/>
      <c r="N903" s="25"/>
      <c r="O903" s="25"/>
      <c r="P903" s="25"/>
      <c r="Q903" s="25"/>
      <c r="R903" s="25"/>
      <c r="S903" s="25"/>
      <c r="T903" s="25"/>
      <c r="U903" s="26"/>
      <c r="V903" s="27"/>
      <c r="W903" s="27"/>
      <c r="X903" s="27"/>
      <c r="Y903" s="27"/>
      <c r="Z903" s="27"/>
      <c r="AA903" s="27"/>
      <c r="AB903" s="27"/>
      <c r="AC903" s="27"/>
      <c r="AD903" s="27"/>
    </row>
    <row r="904" ht="15.75" customHeight="1">
      <c r="G904" s="23"/>
      <c r="K904" s="24"/>
      <c r="L904" s="24"/>
      <c r="N904" s="25"/>
      <c r="O904" s="25"/>
      <c r="P904" s="25"/>
      <c r="Q904" s="25"/>
      <c r="R904" s="25"/>
      <c r="S904" s="25"/>
      <c r="T904" s="25"/>
      <c r="U904" s="26"/>
      <c r="V904" s="27"/>
      <c r="W904" s="27"/>
      <c r="X904" s="27"/>
      <c r="Y904" s="27"/>
      <c r="Z904" s="27"/>
      <c r="AA904" s="27"/>
      <c r="AB904" s="27"/>
      <c r="AC904" s="27"/>
      <c r="AD904" s="27"/>
    </row>
    <row r="905" ht="15.75" customHeight="1">
      <c r="G905" s="23"/>
      <c r="K905" s="24"/>
      <c r="L905" s="24"/>
      <c r="N905" s="25"/>
      <c r="O905" s="25"/>
      <c r="P905" s="25"/>
      <c r="Q905" s="25"/>
      <c r="R905" s="25"/>
      <c r="S905" s="25"/>
      <c r="T905" s="25"/>
      <c r="U905" s="26"/>
      <c r="V905" s="27"/>
      <c r="W905" s="27"/>
      <c r="X905" s="27"/>
      <c r="Y905" s="27"/>
      <c r="Z905" s="27"/>
      <c r="AA905" s="27"/>
      <c r="AB905" s="27"/>
      <c r="AC905" s="27"/>
      <c r="AD905" s="27"/>
    </row>
    <row r="906" ht="15.75" customHeight="1">
      <c r="G906" s="23"/>
      <c r="K906" s="24"/>
      <c r="L906" s="24"/>
      <c r="N906" s="25"/>
      <c r="O906" s="25"/>
      <c r="P906" s="25"/>
      <c r="Q906" s="25"/>
      <c r="R906" s="25"/>
      <c r="S906" s="25"/>
      <c r="T906" s="25"/>
      <c r="U906" s="26"/>
      <c r="V906" s="27"/>
      <c r="W906" s="27"/>
      <c r="X906" s="27"/>
      <c r="Y906" s="27"/>
      <c r="Z906" s="27"/>
      <c r="AA906" s="27"/>
      <c r="AB906" s="27"/>
      <c r="AC906" s="27"/>
      <c r="AD906" s="27"/>
    </row>
    <row r="907" ht="15.75" customHeight="1">
      <c r="G907" s="23"/>
      <c r="K907" s="24"/>
      <c r="L907" s="24"/>
      <c r="N907" s="25"/>
      <c r="O907" s="25"/>
      <c r="P907" s="25"/>
      <c r="Q907" s="25"/>
      <c r="R907" s="25"/>
      <c r="S907" s="25"/>
      <c r="T907" s="25"/>
      <c r="U907" s="26"/>
      <c r="V907" s="27"/>
      <c r="W907" s="27"/>
      <c r="X907" s="27"/>
      <c r="Y907" s="27"/>
      <c r="Z907" s="27"/>
      <c r="AA907" s="27"/>
      <c r="AB907" s="27"/>
      <c r="AC907" s="27"/>
      <c r="AD907" s="27"/>
    </row>
    <row r="908" ht="15.75" customHeight="1">
      <c r="G908" s="23"/>
      <c r="K908" s="24"/>
      <c r="L908" s="24"/>
      <c r="N908" s="25"/>
      <c r="O908" s="25"/>
      <c r="P908" s="25"/>
      <c r="Q908" s="25"/>
      <c r="R908" s="25"/>
      <c r="S908" s="25"/>
      <c r="T908" s="25"/>
      <c r="U908" s="26"/>
      <c r="V908" s="27"/>
      <c r="W908" s="27"/>
      <c r="X908" s="27"/>
      <c r="Y908" s="27"/>
      <c r="Z908" s="27"/>
      <c r="AA908" s="27"/>
      <c r="AB908" s="27"/>
      <c r="AC908" s="27"/>
      <c r="AD908" s="27"/>
    </row>
    <row r="909" ht="15.75" customHeight="1">
      <c r="G909" s="23"/>
      <c r="K909" s="24"/>
      <c r="L909" s="24"/>
      <c r="N909" s="25"/>
      <c r="O909" s="25"/>
      <c r="P909" s="25"/>
      <c r="Q909" s="25"/>
      <c r="R909" s="25"/>
      <c r="S909" s="25"/>
      <c r="T909" s="25"/>
      <c r="U909" s="26"/>
      <c r="V909" s="27"/>
      <c r="W909" s="27"/>
      <c r="X909" s="27"/>
      <c r="Y909" s="27"/>
      <c r="Z909" s="27"/>
      <c r="AA909" s="27"/>
      <c r="AB909" s="27"/>
      <c r="AC909" s="27"/>
      <c r="AD909" s="27"/>
    </row>
    <row r="910" ht="15.75" customHeight="1">
      <c r="G910" s="23"/>
      <c r="K910" s="24"/>
      <c r="L910" s="24"/>
      <c r="N910" s="25"/>
      <c r="O910" s="25"/>
      <c r="P910" s="25"/>
      <c r="Q910" s="25"/>
      <c r="R910" s="25"/>
      <c r="S910" s="25"/>
      <c r="T910" s="25"/>
      <c r="U910" s="26"/>
      <c r="V910" s="27"/>
      <c r="W910" s="27"/>
      <c r="X910" s="27"/>
      <c r="Y910" s="27"/>
      <c r="Z910" s="27"/>
      <c r="AA910" s="27"/>
      <c r="AB910" s="27"/>
      <c r="AC910" s="27"/>
      <c r="AD910" s="27"/>
    </row>
    <row r="911" ht="15.75" customHeight="1">
      <c r="G911" s="23"/>
      <c r="K911" s="24"/>
      <c r="L911" s="24"/>
      <c r="N911" s="25"/>
      <c r="O911" s="25"/>
      <c r="P911" s="25"/>
      <c r="Q911" s="25"/>
      <c r="R911" s="25"/>
      <c r="S911" s="25"/>
      <c r="T911" s="25"/>
      <c r="U911" s="26"/>
      <c r="V911" s="27"/>
      <c r="W911" s="27"/>
      <c r="X911" s="27"/>
      <c r="Y911" s="27"/>
      <c r="Z911" s="27"/>
      <c r="AA911" s="27"/>
      <c r="AB911" s="27"/>
      <c r="AC911" s="27"/>
      <c r="AD911" s="27"/>
    </row>
    <row r="912" ht="15.75" customHeight="1">
      <c r="G912" s="23"/>
      <c r="K912" s="24"/>
      <c r="L912" s="24"/>
      <c r="N912" s="25"/>
      <c r="O912" s="25"/>
      <c r="P912" s="25"/>
      <c r="Q912" s="25"/>
      <c r="R912" s="25"/>
      <c r="S912" s="25"/>
      <c r="T912" s="25"/>
      <c r="U912" s="26"/>
      <c r="V912" s="27"/>
      <c r="W912" s="27"/>
      <c r="X912" s="27"/>
      <c r="Y912" s="27"/>
      <c r="Z912" s="27"/>
      <c r="AA912" s="27"/>
      <c r="AB912" s="27"/>
      <c r="AC912" s="27"/>
      <c r="AD912" s="27"/>
    </row>
    <row r="913" ht="15.75" customHeight="1">
      <c r="G913" s="23"/>
      <c r="K913" s="24"/>
      <c r="L913" s="24"/>
      <c r="N913" s="25"/>
      <c r="O913" s="25"/>
      <c r="P913" s="25"/>
      <c r="Q913" s="25"/>
      <c r="R913" s="25"/>
      <c r="S913" s="25"/>
      <c r="T913" s="25"/>
      <c r="U913" s="26"/>
      <c r="V913" s="27"/>
      <c r="W913" s="27"/>
      <c r="X913" s="27"/>
      <c r="Y913" s="27"/>
      <c r="Z913" s="27"/>
      <c r="AA913" s="27"/>
      <c r="AB913" s="27"/>
      <c r="AC913" s="27"/>
      <c r="AD913" s="27"/>
    </row>
    <row r="914" ht="15.75" customHeight="1">
      <c r="G914" s="23"/>
      <c r="K914" s="24"/>
      <c r="L914" s="24"/>
      <c r="N914" s="25"/>
      <c r="O914" s="25"/>
      <c r="P914" s="25"/>
      <c r="Q914" s="25"/>
      <c r="R914" s="25"/>
      <c r="S914" s="25"/>
      <c r="T914" s="25"/>
      <c r="U914" s="26"/>
      <c r="V914" s="27"/>
      <c r="W914" s="27"/>
      <c r="X914" s="27"/>
      <c r="Y914" s="27"/>
      <c r="Z914" s="27"/>
      <c r="AA914" s="27"/>
      <c r="AB914" s="27"/>
      <c r="AC914" s="27"/>
      <c r="AD914" s="27"/>
    </row>
    <row r="915" ht="15.75" customHeight="1">
      <c r="G915" s="23"/>
      <c r="K915" s="24"/>
      <c r="L915" s="24"/>
      <c r="N915" s="25"/>
      <c r="O915" s="25"/>
      <c r="P915" s="25"/>
      <c r="Q915" s="25"/>
      <c r="R915" s="25"/>
      <c r="S915" s="25"/>
      <c r="T915" s="25"/>
      <c r="U915" s="26"/>
      <c r="V915" s="27"/>
      <c r="W915" s="27"/>
      <c r="X915" s="27"/>
      <c r="Y915" s="27"/>
      <c r="Z915" s="27"/>
      <c r="AA915" s="27"/>
      <c r="AB915" s="27"/>
      <c r="AC915" s="27"/>
      <c r="AD915" s="27"/>
    </row>
    <row r="916" ht="15.75" customHeight="1">
      <c r="G916" s="23"/>
      <c r="K916" s="24"/>
      <c r="L916" s="24"/>
      <c r="N916" s="25"/>
      <c r="O916" s="25"/>
      <c r="P916" s="25"/>
      <c r="Q916" s="25"/>
      <c r="R916" s="25"/>
      <c r="S916" s="25"/>
      <c r="T916" s="25"/>
      <c r="U916" s="26"/>
      <c r="V916" s="27"/>
      <c r="W916" s="27"/>
      <c r="X916" s="27"/>
      <c r="Y916" s="27"/>
      <c r="Z916" s="27"/>
      <c r="AA916" s="27"/>
      <c r="AB916" s="27"/>
      <c r="AC916" s="27"/>
      <c r="AD916" s="27"/>
    </row>
    <row r="917" ht="15.75" customHeight="1">
      <c r="G917" s="23"/>
      <c r="K917" s="24"/>
      <c r="L917" s="24"/>
      <c r="N917" s="25"/>
      <c r="O917" s="25"/>
      <c r="P917" s="25"/>
      <c r="Q917" s="25"/>
      <c r="R917" s="25"/>
      <c r="S917" s="25"/>
      <c r="T917" s="25"/>
      <c r="U917" s="26"/>
      <c r="V917" s="27"/>
      <c r="W917" s="27"/>
      <c r="X917" s="27"/>
      <c r="Y917" s="27"/>
      <c r="Z917" s="27"/>
      <c r="AA917" s="27"/>
      <c r="AB917" s="27"/>
      <c r="AC917" s="27"/>
      <c r="AD917" s="27"/>
    </row>
    <row r="918" ht="15.75" customHeight="1">
      <c r="G918" s="23"/>
      <c r="K918" s="24"/>
      <c r="L918" s="24"/>
      <c r="N918" s="25"/>
      <c r="O918" s="25"/>
      <c r="P918" s="25"/>
      <c r="Q918" s="25"/>
      <c r="R918" s="25"/>
      <c r="S918" s="25"/>
      <c r="T918" s="25"/>
      <c r="U918" s="26"/>
      <c r="V918" s="27"/>
      <c r="W918" s="27"/>
      <c r="X918" s="27"/>
      <c r="Y918" s="27"/>
      <c r="Z918" s="27"/>
      <c r="AA918" s="27"/>
      <c r="AB918" s="27"/>
      <c r="AC918" s="27"/>
      <c r="AD918" s="27"/>
    </row>
    <row r="919" ht="15.75" customHeight="1">
      <c r="G919" s="23"/>
      <c r="K919" s="24"/>
      <c r="L919" s="24"/>
      <c r="N919" s="25"/>
      <c r="O919" s="25"/>
      <c r="P919" s="25"/>
      <c r="Q919" s="25"/>
      <c r="R919" s="25"/>
      <c r="S919" s="25"/>
      <c r="T919" s="25"/>
      <c r="U919" s="26"/>
      <c r="V919" s="27"/>
      <c r="W919" s="27"/>
      <c r="X919" s="27"/>
      <c r="Y919" s="27"/>
      <c r="Z919" s="27"/>
      <c r="AA919" s="27"/>
      <c r="AB919" s="27"/>
      <c r="AC919" s="27"/>
      <c r="AD919" s="27"/>
    </row>
    <row r="920" ht="15.75" customHeight="1">
      <c r="G920" s="23"/>
      <c r="K920" s="24"/>
      <c r="L920" s="24"/>
      <c r="N920" s="25"/>
      <c r="O920" s="25"/>
      <c r="P920" s="25"/>
      <c r="Q920" s="25"/>
      <c r="R920" s="25"/>
      <c r="S920" s="25"/>
      <c r="T920" s="25"/>
      <c r="U920" s="26"/>
      <c r="V920" s="27"/>
      <c r="W920" s="27"/>
      <c r="X920" s="27"/>
      <c r="Y920" s="27"/>
      <c r="Z920" s="27"/>
      <c r="AA920" s="27"/>
      <c r="AB920" s="27"/>
      <c r="AC920" s="27"/>
      <c r="AD920" s="27"/>
    </row>
    <row r="921" ht="15.75" customHeight="1">
      <c r="G921" s="23"/>
      <c r="K921" s="24"/>
      <c r="L921" s="24"/>
      <c r="N921" s="25"/>
      <c r="O921" s="25"/>
      <c r="P921" s="25"/>
      <c r="Q921" s="25"/>
      <c r="R921" s="25"/>
      <c r="S921" s="25"/>
      <c r="T921" s="25"/>
      <c r="U921" s="26"/>
      <c r="V921" s="27"/>
      <c r="W921" s="27"/>
      <c r="X921" s="27"/>
      <c r="Y921" s="27"/>
      <c r="Z921" s="27"/>
      <c r="AA921" s="27"/>
      <c r="AB921" s="27"/>
      <c r="AC921" s="27"/>
      <c r="AD921" s="27"/>
    </row>
    <row r="922" ht="15.75" customHeight="1">
      <c r="G922" s="23"/>
      <c r="K922" s="24"/>
      <c r="L922" s="24"/>
      <c r="N922" s="25"/>
      <c r="O922" s="25"/>
      <c r="P922" s="25"/>
      <c r="Q922" s="25"/>
      <c r="R922" s="25"/>
      <c r="S922" s="25"/>
      <c r="T922" s="25"/>
      <c r="U922" s="26"/>
      <c r="V922" s="27"/>
      <c r="W922" s="27"/>
      <c r="X922" s="27"/>
      <c r="Y922" s="27"/>
      <c r="Z922" s="27"/>
      <c r="AA922" s="27"/>
      <c r="AB922" s="27"/>
      <c r="AC922" s="27"/>
      <c r="AD922" s="27"/>
    </row>
    <row r="923" ht="15.75" customHeight="1">
      <c r="G923" s="23"/>
      <c r="K923" s="24"/>
      <c r="L923" s="24"/>
      <c r="N923" s="25"/>
      <c r="O923" s="25"/>
      <c r="P923" s="25"/>
      <c r="Q923" s="25"/>
      <c r="R923" s="25"/>
      <c r="S923" s="25"/>
      <c r="T923" s="25"/>
      <c r="U923" s="26"/>
      <c r="V923" s="27"/>
      <c r="W923" s="27"/>
      <c r="X923" s="27"/>
      <c r="Y923" s="27"/>
      <c r="Z923" s="27"/>
      <c r="AA923" s="27"/>
      <c r="AB923" s="27"/>
      <c r="AC923" s="27"/>
      <c r="AD923" s="27"/>
    </row>
    <row r="924" ht="15.75" customHeight="1">
      <c r="G924" s="23"/>
      <c r="K924" s="24"/>
      <c r="L924" s="24"/>
      <c r="N924" s="25"/>
      <c r="O924" s="25"/>
      <c r="P924" s="25"/>
      <c r="Q924" s="25"/>
      <c r="R924" s="25"/>
      <c r="S924" s="25"/>
      <c r="T924" s="25"/>
      <c r="U924" s="26"/>
      <c r="V924" s="27"/>
      <c r="W924" s="27"/>
      <c r="X924" s="27"/>
      <c r="Y924" s="27"/>
      <c r="Z924" s="27"/>
      <c r="AA924" s="27"/>
      <c r="AB924" s="27"/>
      <c r="AC924" s="27"/>
      <c r="AD924" s="27"/>
    </row>
    <row r="925" ht="15.75" customHeight="1">
      <c r="G925" s="23"/>
      <c r="K925" s="24"/>
      <c r="L925" s="24"/>
      <c r="N925" s="25"/>
      <c r="O925" s="25"/>
      <c r="P925" s="25"/>
      <c r="Q925" s="25"/>
      <c r="R925" s="25"/>
      <c r="S925" s="25"/>
      <c r="T925" s="25"/>
      <c r="U925" s="26"/>
      <c r="V925" s="27"/>
      <c r="W925" s="27"/>
      <c r="X925" s="27"/>
      <c r="Y925" s="27"/>
      <c r="Z925" s="27"/>
      <c r="AA925" s="27"/>
      <c r="AB925" s="27"/>
      <c r="AC925" s="27"/>
      <c r="AD925" s="27"/>
    </row>
    <row r="926" ht="15.75" customHeight="1">
      <c r="G926" s="23"/>
      <c r="K926" s="24"/>
      <c r="L926" s="24"/>
      <c r="N926" s="25"/>
      <c r="O926" s="25"/>
      <c r="P926" s="25"/>
      <c r="Q926" s="25"/>
      <c r="R926" s="25"/>
      <c r="S926" s="25"/>
      <c r="T926" s="25"/>
      <c r="U926" s="26"/>
      <c r="V926" s="27"/>
      <c r="W926" s="27"/>
      <c r="X926" s="27"/>
      <c r="Y926" s="27"/>
      <c r="Z926" s="27"/>
      <c r="AA926" s="27"/>
      <c r="AB926" s="27"/>
      <c r="AC926" s="27"/>
      <c r="AD926" s="27"/>
    </row>
    <row r="927" ht="15.75" customHeight="1">
      <c r="G927" s="23"/>
      <c r="K927" s="24"/>
      <c r="L927" s="24"/>
      <c r="N927" s="25"/>
      <c r="O927" s="25"/>
      <c r="P927" s="25"/>
      <c r="Q927" s="25"/>
      <c r="R927" s="25"/>
      <c r="S927" s="25"/>
      <c r="T927" s="25"/>
      <c r="U927" s="26"/>
      <c r="V927" s="27"/>
      <c r="W927" s="27"/>
      <c r="X927" s="27"/>
      <c r="Y927" s="27"/>
      <c r="Z927" s="27"/>
      <c r="AA927" s="27"/>
      <c r="AB927" s="27"/>
      <c r="AC927" s="27"/>
      <c r="AD927" s="27"/>
    </row>
    <row r="928" ht="15.75" customHeight="1">
      <c r="G928" s="23"/>
      <c r="K928" s="24"/>
      <c r="L928" s="24"/>
      <c r="N928" s="25"/>
      <c r="O928" s="25"/>
      <c r="P928" s="25"/>
      <c r="Q928" s="25"/>
      <c r="R928" s="25"/>
      <c r="S928" s="25"/>
      <c r="T928" s="25"/>
      <c r="U928" s="26"/>
      <c r="V928" s="27"/>
      <c r="W928" s="27"/>
      <c r="X928" s="27"/>
      <c r="Y928" s="27"/>
      <c r="Z928" s="27"/>
      <c r="AA928" s="27"/>
      <c r="AB928" s="27"/>
      <c r="AC928" s="27"/>
      <c r="AD928" s="27"/>
    </row>
    <row r="929" ht="15.75" customHeight="1">
      <c r="G929" s="23"/>
      <c r="K929" s="24"/>
      <c r="L929" s="24"/>
      <c r="N929" s="25"/>
      <c r="O929" s="25"/>
      <c r="P929" s="25"/>
      <c r="Q929" s="25"/>
      <c r="R929" s="25"/>
      <c r="S929" s="25"/>
      <c r="T929" s="25"/>
      <c r="U929" s="26"/>
      <c r="V929" s="27"/>
      <c r="W929" s="27"/>
      <c r="X929" s="27"/>
      <c r="Y929" s="27"/>
      <c r="Z929" s="27"/>
      <c r="AA929" s="27"/>
      <c r="AB929" s="27"/>
      <c r="AC929" s="27"/>
      <c r="AD929" s="27"/>
    </row>
    <row r="930" ht="15.75" customHeight="1">
      <c r="G930" s="23"/>
      <c r="K930" s="24"/>
      <c r="L930" s="24"/>
      <c r="N930" s="25"/>
      <c r="O930" s="25"/>
      <c r="P930" s="25"/>
      <c r="Q930" s="25"/>
      <c r="R930" s="25"/>
      <c r="S930" s="25"/>
      <c r="T930" s="25"/>
      <c r="U930" s="26"/>
      <c r="V930" s="27"/>
      <c r="W930" s="27"/>
      <c r="X930" s="27"/>
      <c r="Y930" s="27"/>
      <c r="Z930" s="27"/>
      <c r="AA930" s="27"/>
      <c r="AB930" s="27"/>
      <c r="AC930" s="27"/>
      <c r="AD930" s="27"/>
    </row>
    <row r="931" ht="15.75" customHeight="1">
      <c r="G931" s="23"/>
      <c r="K931" s="24"/>
      <c r="L931" s="24"/>
      <c r="N931" s="25"/>
      <c r="O931" s="25"/>
      <c r="P931" s="25"/>
      <c r="Q931" s="25"/>
      <c r="R931" s="25"/>
      <c r="S931" s="25"/>
      <c r="T931" s="25"/>
      <c r="U931" s="26"/>
      <c r="V931" s="27"/>
      <c r="W931" s="27"/>
      <c r="X931" s="27"/>
      <c r="Y931" s="27"/>
      <c r="Z931" s="27"/>
      <c r="AA931" s="27"/>
      <c r="AB931" s="27"/>
      <c r="AC931" s="27"/>
      <c r="AD931" s="27"/>
    </row>
    <row r="932" ht="15.75" customHeight="1">
      <c r="G932" s="23"/>
      <c r="K932" s="24"/>
      <c r="L932" s="24"/>
      <c r="N932" s="25"/>
      <c r="O932" s="25"/>
      <c r="P932" s="25"/>
      <c r="Q932" s="25"/>
      <c r="R932" s="25"/>
      <c r="S932" s="25"/>
      <c r="T932" s="25"/>
      <c r="U932" s="26"/>
      <c r="V932" s="27"/>
      <c r="W932" s="27"/>
      <c r="X932" s="27"/>
      <c r="Y932" s="27"/>
      <c r="Z932" s="27"/>
      <c r="AA932" s="27"/>
      <c r="AB932" s="27"/>
      <c r="AC932" s="27"/>
      <c r="AD932" s="27"/>
    </row>
    <row r="933" ht="15.75" customHeight="1">
      <c r="G933" s="23"/>
      <c r="K933" s="24"/>
      <c r="L933" s="24"/>
      <c r="N933" s="25"/>
      <c r="O933" s="25"/>
      <c r="P933" s="25"/>
      <c r="Q933" s="25"/>
      <c r="R933" s="25"/>
      <c r="S933" s="25"/>
      <c r="T933" s="25"/>
      <c r="U933" s="26"/>
      <c r="V933" s="27"/>
      <c r="W933" s="27"/>
      <c r="X933" s="27"/>
      <c r="Y933" s="27"/>
      <c r="Z933" s="27"/>
      <c r="AA933" s="27"/>
      <c r="AB933" s="27"/>
      <c r="AC933" s="27"/>
      <c r="AD933" s="27"/>
    </row>
    <row r="934" ht="15.75" customHeight="1">
      <c r="G934" s="23"/>
      <c r="K934" s="24"/>
      <c r="L934" s="24"/>
      <c r="N934" s="25"/>
      <c r="O934" s="25"/>
      <c r="P934" s="25"/>
      <c r="Q934" s="25"/>
      <c r="R934" s="25"/>
      <c r="S934" s="25"/>
      <c r="T934" s="25"/>
      <c r="U934" s="26"/>
      <c r="V934" s="27"/>
      <c r="W934" s="27"/>
      <c r="X934" s="27"/>
      <c r="Y934" s="27"/>
      <c r="Z934" s="27"/>
      <c r="AA934" s="27"/>
      <c r="AB934" s="27"/>
      <c r="AC934" s="27"/>
      <c r="AD934" s="27"/>
    </row>
    <row r="935" ht="15.75" customHeight="1">
      <c r="G935" s="23"/>
      <c r="K935" s="24"/>
      <c r="L935" s="24"/>
      <c r="N935" s="25"/>
      <c r="O935" s="25"/>
      <c r="P935" s="25"/>
      <c r="Q935" s="25"/>
      <c r="R935" s="25"/>
      <c r="S935" s="25"/>
      <c r="T935" s="25"/>
      <c r="U935" s="26"/>
      <c r="V935" s="27"/>
      <c r="W935" s="27"/>
      <c r="X935" s="27"/>
      <c r="Y935" s="27"/>
      <c r="Z935" s="27"/>
      <c r="AA935" s="27"/>
      <c r="AB935" s="27"/>
      <c r="AC935" s="27"/>
      <c r="AD935" s="27"/>
    </row>
    <row r="936" ht="15.75" customHeight="1">
      <c r="G936" s="23"/>
      <c r="K936" s="24"/>
      <c r="L936" s="24"/>
      <c r="N936" s="25"/>
      <c r="O936" s="25"/>
      <c r="P936" s="25"/>
      <c r="Q936" s="25"/>
      <c r="R936" s="25"/>
      <c r="S936" s="25"/>
      <c r="T936" s="25"/>
      <c r="U936" s="26"/>
      <c r="V936" s="27"/>
      <c r="W936" s="27"/>
      <c r="X936" s="27"/>
      <c r="Y936" s="27"/>
      <c r="Z936" s="27"/>
      <c r="AA936" s="27"/>
      <c r="AB936" s="27"/>
      <c r="AC936" s="27"/>
      <c r="AD936" s="27"/>
    </row>
    <row r="937" ht="15.75" customHeight="1">
      <c r="G937" s="23"/>
      <c r="K937" s="24"/>
      <c r="L937" s="24"/>
      <c r="N937" s="25"/>
      <c r="O937" s="25"/>
      <c r="P937" s="25"/>
      <c r="Q937" s="25"/>
      <c r="R937" s="25"/>
      <c r="S937" s="25"/>
      <c r="T937" s="25"/>
      <c r="U937" s="26"/>
      <c r="V937" s="27"/>
      <c r="W937" s="27"/>
      <c r="X937" s="27"/>
      <c r="Y937" s="27"/>
      <c r="Z937" s="27"/>
      <c r="AA937" s="27"/>
      <c r="AB937" s="27"/>
      <c r="AC937" s="27"/>
      <c r="AD937" s="27"/>
    </row>
    <row r="938" ht="15.75" customHeight="1">
      <c r="G938" s="23"/>
      <c r="K938" s="24"/>
      <c r="L938" s="24"/>
      <c r="N938" s="25"/>
      <c r="O938" s="25"/>
      <c r="P938" s="25"/>
      <c r="Q938" s="25"/>
      <c r="R938" s="25"/>
      <c r="S938" s="25"/>
      <c r="T938" s="25"/>
      <c r="U938" s="26"/>
      <c r="V938" s="27"/>
      <c r="W938" s="27"/>
      <c r="X938" s="27"/>
      <c r="Y938" s="27"/>
      <c r="Z938" s="27"/>
      <c r="AA938" s="27"/>
      <c r="AB938" s="27"/>
      <c r="AC938" s="27"/>
      <c r="AD938" s="27"/>
    </row>
    <row r="939" ht="15.75" customHeight="1">
      <c r="G939" s="23"/>
      <c r="K939" s="24"/>
      <c r="L939" s="24"/>
      <c r="N939" s="25"/>
      <c r="O939" s="25"/>
      <c r="P939" s="25"/>
      <c r="Q939" s="25"/>
      <c r="R939" s="25"/>
      <c r="S939" s="25"/>
      <c r="T939" s="25"/>
      <c r="U939" s="26"/>
      <c r="V939" s="27"/>
      <c r="W939" s="27"/>
      <c r="X939" s="27"/>
      <c r="Y939" s="27"/>
      <c r="Z939" s="27"/>
      <c r="AA939" s="27"/>
      <c r="AB939" s="27"/>
      <c r="AC939" s="27"/>
      <c r="AD939" s="27"/>
    </row>
    <row r="940" ht="15.75" customHeight="1">
      <c r="G940" s="23"/>
      <c r="K940" s="24"/>
      <c r="L940" s="24"/>
      <c r="N940" s="25"/>
      <c r="O940" s="25"/>
      <c r="P940" s="25"/>
      <c r="Q940" s="25"/>
      <c r="R940" s="25"/>
      <c r="S940" s="25"/>
      <c r="T940" s="25"/>
      <c r="U940" s="26"/>
      <c r="V940" s="27"/>
      <c r="W940" s="27"/>
      <c r="X940" s="27"/>
      <c r="Y940" s="27"/>
      <c r="Z940" s="27"/>
      <c r="AA940" s="27"/>
      <c r="AB940" s="27"/>
      <c r="AC940" s="27"/>
      <c r="AD940" s="27"/>
    </row>
    <row r="941" ht="15.75" customHeight="1">
      <c r="G941" s="23"/>
      <c r="K941" s="24"/>
      <c r="L941" s="24"/>
      <c r="N941" s="25"/>
      <c r="O941" s="25"/>
      <c r="P941" s="25"/>
      <c r="Q941" s="25"/>
      <c r="R941" s="25"/>
      <c r="S941" s="25"/>
      <c r="T941" s="25"/>
      <c r="U941" s="26"/>
      <c r="V941" s="27"/>
      <c r="W941" s="27"/>
      <c r="X941" s="27"/>
      <c r="Y941" s="27"/>
      <c r="Z941" s="27"/>
      <c r="AA941" s="27"/>
      <c r="AB941" s="27"/>
      <c r="AC941" s="27"/>
      <c r="AD941" s="27"/>
    </row>
    <row r="942" ht="15.75" customHeight="1">
      <c r="G942" s="23"/>
      <c r="K942" s="24"/>
      <c r="L942" s="24"/>
      <c r="N942" s="25"/>
      <c r="O942" s="25"/>
      <c r="P942" s="25"/>
      <c r="Q942" s="25"/>
      <c r="R942" s="25"/>
      <c r="S942" s="25"/>
      <c r="T942" s="25"/>
      <c r="U942" s="26"/>
      <c r="V942" s="27"/>
      <c r="W942" s="27"/>
      <c r="X942" s="27"/>
      <c r="Y942" s="27"/>
      <c r="Z942" s="27"/>
      <c r="AA942" s="27"/>
      <c r="AB942" s="27"/>
      <c r="AC942" s="27"/>
      <c r="AD942" s="27"/>
    </row>
    <row r="943" ht="15.75" customHeight="1">
      <c r="G943" s="23"/>
      <c r="K943" s="24"/>
      <c r="L943" s="24"/>
      <c r="N943" s="25"/>
      <c r="O943" s="25"/>
      <c r="P943" s="25"/>
      <c r="Q943" s="25"/>
      <c r="R943" s="25"/>
      <c r="S943" s="25"/>
      <c r="T943" s="25"/>
      <c r="U943" s="26"/>
      <c r="V943" s="27"/>
      <c r="W943" s="27"/>
      <c r="X943" s="27"/>
      <c r="Y943" s="27"/>
      <c r="Z943" s="27"/>
      <c r="AA943" s="27"/>
      <c r="AB943" s="27"/>
      <c r="AC943" s="27"/>
      <c r="AD943" s="27"/>
    </row>
    <row r="944" ht="15.75" customHeight="1">
      <c r="G944" s="23"/>
      <c r="K944" s="24"/>
      <c r="L944" s="24"/>
      <c r="N944" s="25"/>
      <c r="O944" s="25"/>
      <c r="P944" s="25"/>
      <c r="Q944" s="25"/>
      <c r="R944" s="25"/>
      <c r="S944" s="25"/>
      <c r="T944" s="25"/>
      <c r="U944" s="26"/>
      <c r="V944" s="27"/>
      <c r="W944" s="27"/>
      <c r="X944" s="27"/>
      <c r="Y944" s="27"/>
      <c r="Z944" s="27"/>
      <c r="AA944" s="27"/>
      <c r="AB944" s="27"/>
      <c r="AC944" s="27"/>
      <c r="AD944" s="27"/>
    </row>
    <row r="945" ht="15.75" customHeight="1">
      <c r="G945" s="23"/>
      <c r="K945" s="24"/>
      <c r="L945" s="24"/>
      <c r="N945" s="25"/>
      <c r="O945" s="25"/>
      <c r="P945" s="25"/>
      <c r="Q945" s="25"/>
      <c r="R945" s="25"/>
      <c r="S945" s="25"/>
      <c r="T945" s="25"/>
      <c r="U945" s="26"/>
      <c r="V945" s="27"/>
      <c r="W945" s="27"/>
      <c r="X945" s="27"/>
      <c r="Y945" s="27"/>
      <c r="Z945" s="27"/>
      <c r="AA945" s="27"/>
      <c r="AB945" s="27"/>
      <c r="AC945" s="27"/>
      <c r="AD945" s="27"/>
    </row>
    <row r="946" ht="15.75" customHeight="1">
      <c r="G946" s="23"/>
      <c r="K946" s="24"/>
      <c r="L946" s="24"/>
      <c r="N946" s="25"/>
      <c r="O946" s="25"/>
      <c r="P946" s="25"/>
      <c r="Q946" s="25"/>
      <c r="R946" s="25"/>
      <c r="S946" s="25"/>
      <c r="T946" s="25"/>
      <c r="U946" s="26"/>
      <c r="V946" s="27"/>
      <c r="W946" s="27"/>
      <c r="X946" s="27"/>
      <c r="Y946" s="27"/>
      <c r="Z946" s="27"/>
      <c r="AA946" s="27"/>
      <c r="AB946" s="27"/>
      <c r="AC946" s="27"/>
      <c r="AD946" s="27"/>
    </row>
    <row r="947" ht="15.75" customHeight="1">
      <c r="G947" s="23"/>
      <c r="K947" s="24"/>
      <c r="L947" s="24"/>
      <c r="N947" s="25"/>
      <c r="O947" s="25"/>
      <c r="P947" s="25"/>
      <c r="Q947" s="25"/>
      <c r="R947" s="25"/>
      <c r="S947" s="25"/>
      <c r="T947" s="25"/>
      <c r="U947" s="26"/>
      <c r="V947" s="27"/>
      <c r="W947" s="27"/>
      <c r="X947" s="27"/>
      <c r="Y947" s="27"/>
      <c r="Z947" s="27"/>
      <c r="AA947" s="27"/>
      <c r="AB947" s="27"/>
      <c r="AC947" s="27"/>
      <c r="AD947" s="27"/>
    </row>
    <row r="948" ht="15.75" customHeight="1">
      <c r="G948" s="23"/>
      <c r="K948" s="24"/>
      <c r="L948" s="24"/>
      <c r="N948" s="25"/>
      <c r="O948" s="25"/>
      <c r="P948" s="25"/>
      <c r="Q948" s="25"/>
      <c r="R948" s="25"/>
      <c r="S948" s="25"/>
      <c r="T948" s="25"/>
      <c r="U948" s="26"/>
      <c r="V948" s="27"/>
      <c r="W948" s="27"/>
      <c r="X948" s="27"/>
      <c r="Y948" s="27"/>
      <c r="Z948" s="27"/>
      <c r="AA948" s="27"/>
      <c r="AB948" s="27"/>
      <c r="AC948" s="27"/>
      <c r="AD948" s="27"/>
    </row>
    <row r="949" ht="15.75" customHeight="1">
      <c r="G949" s="23"/>
      <c r="K949" s="24"/>
      <c r="L949" s="24"/>
      <c r="N949" s="25"/>
      <c r="O949" s="25"/>
      <c r="P949" s="25"/>
      <c r="Q949" s="25"/>
      <c r="R949" s="25"/>
      <c r="S949" s="25"/>
      <c r="T949" s="25"/>
      <c r="U949" s="26"/>
      <c r="V949" s="27"/>
      <c r="W949" s="27"/>
      <c r="X949" s="27"/>
      <c r="Y949" s="27"/>
      <c r="Z949" s="27"/>
      <c r="AA949" s="27"/>
      <c r="AB949" s="27"/>
      <c r="AC949" s="27"/>
      <c r="AD949" s="27"/>
    </row>
    <row r="950" ht="15.75" customHeight="1">
      <c r="G950" s="23"/>
      <c r="K950" s="24"/>
      <c r="L950" s="24"/>
      <c r="N950" s="25"/>
      <c r="O950" s="25"/>
      <c r="P950" s="25"/>
      <c r="Q950" s="25"/>
      <c r="R950" s="25"/>
      <c r="S950" s="25"/>
      <c r="T950" s="25"/>
      <c r="U950" s="26"/>
      <c r="V950" s="27"/>
      <c r="W950" s="27"/>
      <c r="X950" s="27"/>
      <c r="Y950" s="27"/>
      <c r="Z950" s="27"/>
      <c r="AA950" s="27"/>
      <c r="AB950" s="27"/>
      <c r="AC950" s="27"/>
      <c r="AD950" s="27"/>
    </row>
    <row r="951" ht="15.75" customHeight="1">
      <c r="G951" s="23"/>
      <c r="K951" s="24"/>
      <c r="L951" s="24"/>
      <c r="N951" s="25"/>
      <c r="O951" s="25"/>
      <c r="P951" s="25"/>
      <c r="Q951" s="25"/>
      <c r="R951" s="25"/>
      <c r="S951" s="25"/>
      <c r="T951" s="25"/>
      <c r="U951" s="26"/>
      <c r="V951" s="27"/>
      <c r="W951" s="27"/>
      <c r="X951" s="27"/>
      <c r="Y951" s="27"/>
      <c r="Z951" s="27"/>
      <c r="AA951" s="27"/>
      <c r="AB951" s="27"/>
      <c r="AC951" s="27"/>
      <c r="AD951" s="27"/>
    </row>
    <row r="952" ht="15.75" customHeight="1">
      <c r="G952" s="23"/>
      <c r="K952" s="24"/>
      <c r="L952" s="24"/>
      <c r="N952" s="25"/>
      <c r="O952" s="25"/>
      <c r="P952" s="25"/>
      <c r="Q952" s="25"/>
      <c r="R952" s="25"/>
      <c r="S952" s="25"/>
      <c r="T952" s="25"/>
      <c r="U952" s="26"/>
      <c r="V952" s="27"/>
      <c r="W952" s="27"/>
      <c r="X952" s="27"/>
      <c r="Y952" s="27"/>
      <c r="Z952" s="27"/>
      <c r="AA952" s="27"/>
      <c r="AB952" s="27"/>
      <c r="AC952" s="27"/>
      <c r="AD952" s="27"/>
    </row>
    <row r="953" ht="15.75" customHeight="1">
      <c r="G953" s="23"/>
      <c r="K953" s="24"/>
      <c r="L953" s="24"/>
      <c r="N953" s="25"/>
      <c r="O953" s="25"/>
      <c r="P953" s="25"/>
      <c r="Q953" s="25"/>
      <c r="R953" s="25"/>
      <c r="S953" s="25"/>
      <c r="T953" s="25"/>
      <c r="U953" s="26"/>
      <c r="V953" s="27"/>
      <c r="W953" s="27"/>
      <c r="X953" s="27"/>
      <c r="Y953" s="27"/>
      <c r="Z953" s="27"/>
      <c r="AA953" s="27"/>
      <c r="AB953" s="27"/>
      <c r="AC953" s="27"/>
      <c r="AD953" s="27"/>
    </row>
    <row r="954" ht="15.75" customHeight="1">
      <c r="G954" s="23"/>
      <c r="K954" s="24"/>
      <c r="L954" s="24"/>
      <c r="N954" s="25"/>
      <c r="O954" s="25"/>
      <c r="P954" s="25"/>
      <c r="Q954" s="25"/>
      <c r="R954" s="25"/>
      <c r="S954" s="25"/>
      <c r="T954" s="25"/>
      <c r="U954" s="26"/>
      <c r="V954" s="27"/>
      <c r="W954" s="27"/>
      <c r="X954" s="27"/>
      <c r="Y954" s="27"/>
      <c r="Z954" s="27"/>
      <c r="AA954" s="27"/>
      <c r="AB954" s="27"/>
      <c r="AC954" s="27"/>
      <c r="AD954" s="27"/>
    </row>
    <row r="955" ht="15.75" customHeight="1">
      <c r="G955" s="23"/>
      <c r="K955" s="24"/>
      <c r="L955" s="24"/>
      <c r="N955" s="25"/>
      <c r="O955" s="25"/>
      <c r="P955" s="25"/>
      <c r="Q955" s="25"/>
      <c r="R955" s="25"/>
      <c r="S955" s="25"/>
      <c r="T955" s="25"/>
      <c r="U955" s="26"/>
      <c r="V955" s="27"/>
      <c r="W955" s="27"/>
      <c r="X955" s="27"/>
      <c r="Y955" s="27"/>
      <c r="Z955" s="27"/>
      <c r="AA955" s="27"/>
      <c r="AB955" s="27"/>
      <c r="AC955" s="27"/>
      <c r="AD955" s="27"/>
    </row>
    <row r="956" ht="15.75" customHeight="1">
      <c r="G956" s="23"/>
      <c r="K956" s="24"/>
      <c r="L956" s="24"/>
      <c r="N956" s="25"/>
      <c r="O956" s="25"/>
      <c r="P956" s="25"/>
      <c r="Q956" s="25"/>
      <c r="R956" s="25"/>
      <c r="S956" s="25"/>
      <c r="T956" s="25"/>
      <c r="U956" s="26"/>
      <c r="V956" s="27"/>
      <c r="W956" s="27"/>
      <c r="X956" s="27"/>
      <c r="Y956" s="27"/>
      <c r="Z956" s="27"/>
      <c r="AA956" s="27"/>
      <c r="AB956" s="27"/>
      <c r="AC956" s="27"/>
      <c r="AD956" s="27"/>
    </row>
    <row r="957" ht="15.75" customHeight="1">
      <c r="G957" s="23"/>
      <c r="K957" s="24"/>
      <c r="L957" s="24"/>
      <c r="N957" s="25"/>
      <c r="O957" s="25"/>
      <c r="P957" s="25"/>
      <c r="Q957" s="25"/>
      <c r="R957" s="25"/>
      <c r="S957" s="25"/>
      <c r="T957" s="25"/>
      <c r="U957" s="26"/>
      <c r="V957" s="27"/>
      <c r="W957" s="27"/>
      <c r="X957" s="27"/>
      <c r="Y957" s="27"/>
      <c r="Z957" s="27"/>
      <c r="AA957" s="27"/>
      <c r="AB957" s="27"/>
      <c r="AC957" s="27"/>
      <c r="AD957" s="27"/>
    </row>
    <row r="958" ht="15.75" customHeight="1">
      <c r="G958" s="23"/>
      <c r="K958" s="24"/>
      <c r="L958" s="24"/>
      <c r="N958" s="25"/>
      <c r="O958" s="25"/>
      <c r="P958" s="25"/>
      <c r="Q958" s="25"/>
      <c r="R958" s="25"/>
      <c r="S958" s="25"/>
      <c r="T958" s="25"/>
      <c r="U958" s="26"/>
      <c r="V958" s="27"/>
      <c r="W958" s="27"/>
      <c r="X958" s="27"/>
      <c r="Y958" s="27"/>
      <c r="Z958" s="27"/>
      <c r="AA958" s="27"/>
      <c r="AB958" s="27"/>
      <c r="AC958" s="27"/>
      <c r="AD958" s="27"/>
    </row>
    <row r="959" ht="15.75" customHeight="1">
      <c r="G959" s="23"/>
      <c r="K959" s="24"/>
      <c r="L959" s="24"/>
      <c r="N959" s="25"/>
      <c r="O959" s="25"/>
      <c r="P959" s="25"/>
      <c r="Q959" s="25"/>
      <c r="R959" s="25"/>
      <c r="S959" s="25"/>
      <c r="T959" s="25"/>
      <c r="U959" s="26"/>
      <c r="V959" s="27"/>
      <c r="W959" s="27"/>
      <c r="X959" s="27"/>
      <c r="Y959" s="27"/>
      <c r="Z959" s="27"/>
      <c r="AA959" s="27"/>
      <c r="AB959" s="27"/>
      <c r="AC959" s="27"/>
      <c r="AD959" s="27"/>
    </row>
    <row r="960" ht="15.75" customHeight="1">
      <c r="G960" s="23"/>
      <c r="K960" s="24"/>
      <c r="L960" s="24"/>
      <c r="N960" s="25"/>
      <c r="O960" s="25"/>
      <c r="P960" s="25"/>
      <c r="Q960" s="25"/>
      <c r="R960" s="25"/>
      <c r="S960" s="25"/>
      <c r="T960" s="25"/>
      <c r="U960" s="26"/>
      <c r="V960" s="27"/>
      <c r="W960" s="27"/>
      <c r="X960" s="27"/>
      <c r="Y960" s="27"/>
      <c r="Z960" s="27"/>
      <c r="AA960" s="27"/>
      <c r="AB960" s="27"/>
      <c r="AC960" s="27"/>
      <c r="AD960" s="27"/>
    </row>
    <row r="961" ht="15.75" customHeight="1">
      <c r="G961" s="23"/>
      <c r="K961" s="24"/>
      <c r="L961" s="24"/>
      <c r="N961" s="25"/>
      <c r="O961" s="25"/>
      <c r="P961" s="25"/>
      <c r="Q961" s="25"/>
      <c r="R961" s="25"/>
      <c r="S961" s="25"/>
      <c r="T961" s="25"/>
      <c r="U961" s="26"/>
      <c r="V961" s="27"/>
      <c r="W961" s="27"/>
      <c r="X961" s="27"/>
      <c r="Y961" s="27"/>
      <c r="Z961" s="27"/>
      <c r="AA961" s="27"/>
      <c r="AB961" s="27"/>
      <c r="AC961" s="27"/>
      <c r="AD961" s="27"/>
    </row>
    <row r="962" ht="15.75" customHeight="1">
      <c r="G962" s="23"/>
      <c r="K962" s="24"/>
      <c r="L962" s="24"/>
      <c r="N962" s="25"/>
      <c r="O962" s="25"/>
      <c r="P962" s="25"/>
      <c r="Q962" s="25"/>
      <c r="R962" s="25"/>
      <c r="S962" s="25"/>
      <c r="T962" s="25"/>
      <c r="U962" s="26"/>
      <c r="V962" s="27"/>
      <c r="W962" s="27"/>
      <c r="X962" s="27"/>
      <c r="Y962" s="27"/>
      <c r="Z962" s="27"/>
      <c r="AA962" s="27"/>
      <c r="AB962" s="27"/>
      <c r="AC962" s="27"/>
      <c r="AD962" s="27"/>
    </row>
    <row r="963" ht="15.75" customHeight="1">
      <c r="G963" s="23"/>
      <c r="K963" s="24"/>
      <c r="L963" s="24"/>
      <c r="N963" s="25"/>
      <c r="O963" s="25"/>
      <c r="P963" s="25"/>
      <c r="Q963" s="25"/>
      <c r="R963" s="25"/>
      <c r="S963" s="25"/>
      <c r="T963" s="25"/>
      <c r="U963" s="26"/>
      <c r="V963" s="27"/>
      <c r="W963" s="27"/>
      <c r="X963" s="27"/>
      <c r="Y963" s="27"/>
      <c r="Z963" s="27"/>
      <c r="AA963" s="27"/>
      <c r="AB963" s="27"/>
      <c r="AC963" s="27"/>
      <c r="AD963" s="27"/>
    </row>
    <row r="964" ht="15.75" customHeight="1">
      <c r="G964" s="23"/>
      <c r="K964" s="24"/>
      <c r="L964" s="24"/>
      <c r="N964" s="25"/>
      <c r="O964" s="25"/>
      <c r="P964" s="25"/>
      <c r="Q964" s="25"/>
      <c r="R964" s="25"/>
      <c r="S964" s="25"/>
      <c r="T964" s="25"/>
      <c r="U964" s="26"/>
      <c r="V964" s="27"/>
      <c r="W964" s="27"/>
      <c r="X964" s="27"/>
      <c r="Y964" s="27"/>
      <c r="Z964" s="27"/>
      <c r="AA964" s="27"/>
      <c r="AB964" s="27"/>
      <c r="AC964" s="27"/>
      <c r="AD964" s="27"/>
    </row>
    <row r="965" ht="15.75" customHeight="1">
      <c r="G965" s="23"/>
      <c r="K965" s="24"/>
      <c r="L965" s="24"/>
      <c r="N965" s="25"/>
      <c r="O965" s="25"/>
      <c r="P965" s="25"/>
      <c r="Q965" s="25"/>
      <c r="R965" s="25"/>
      <c r="S965" s="25"/>
      <c r="T965" s="25"/>
      <c r="U965" s="26"/>
      <c r="V965" s="27"/>
      <c r="W965" s="27"/>
      <c r="X965" s="27"/>
      <c r="Y965" s="27"/>
      <c r="Z965" s="27"/>
      <c r="AA965" s="27"/>
      <c r="AB965" s="27"/>
      <c r="AC965" s="27"/>
      <c r="AD965" s="27"/>
    </row>
    <row r="966" ht="15.75" customHeight="1">
      <c r="G966" s="23"/>
      <c r="K966" s="24"/>
      <c r="L966" s="24"/>
      <c r="N966" s="25"/>
      <c r="O966" s="25"/>
      <c r="P966" s="25"/>
      <c r="Q966" s="25"/>
      <c r="R966" s="25"/>
      <c r="S966" s="25"/>
      <c r="T966" s="25"/>
      <c r="U966" s="26"/>
      <c r="V966" s="27"/>
      <c r="W966" s="27"/>
      <c r="X966" s="27"/>
      <c r="Y966" s="27"/>
      <c r="Z966" s="27"/>
      <c r="AA966" s="27"/>
      <c r="AB966" s="27"/>
      <c r="AC966" s="27"/>
      <c r="AD966" s="27"/>
    </row>
    <row r="967" ht="15.75" customHeight="1">
      <c r="G967" s="23"/>
      <c r="K967" s="24"/>
      <c r="L967" s="24"/>
      <c r="N967" s="25"/>
      <c r="O967" s="25"/>
      <c r="P967" s="25"/>
      <c r="Q967" s="25"/>
      <c r="R967" s="25"/>
      <c r="S967" s="25"/>
      <c r="T967" s="25"/>
      <c r="U967" s="26"/>
      <c r="V967" s="27"/>
      <c r="W967" s="27"/>
      <c r="X967" s="27"/>
      <c r="Y967" s="27"/>
      <c r="Z967" s="27"/>
      <c r="AA967" s="27"/>
      <c r="AB967" s="27"/>
      <c r="AC967" s="27"/>
      <c r="AD967" s="27"/>
    </row>
    <row r="968" ht="15.75" customHeight="1">
      <c r="G968" s="23"/>
      <c r="K968" s="24"/>
      <c r="L968" s="24"/>
      <c r="N968" s="25"/>
      <c r="O968" s="25"/>
      <c r="P968" s="25"/>
      <c r="Q968" s="25"/>
      <c r="R968" s="25"/>
      <c r="S968" s="25"/>
      <c r="T968" s="25"/>
      <c r="U968" s="26"/>
      <c r="V968" s="27"/>
      <c r="W968" s="27"/>
      <c r="X968" s="27"/>
      <c r="Y968" s="27"/>
      <c r="Z968" s="27"/>
      <c r="AA968" s="27"/>
      <c r="AB968" s="27"/>
      <c r="AC968" s="27"/>
      <c r="AD968" s="27"/>
    </row>
    <row r="969" ht="15.75" customHeight="1">
      <c r="G969" s="23"/>
      <c r="K969" s="24"/>
      <c r="L969" s="24"/>
      <c r="N969" s="25"/>
      <c r="O969" s="25"/>
      <c r="P969" s="25"/>
      <c r="Q969" s="25"/>
      <c r="R969" s="25"/>
      <c r="S969" s="25"/>
      <c r="T969" s="25"/>
      <c r="U969" s="26"/>
      <c r="V969" s="27"/>
      <c r="W969" s="27"/>
      <c r="X969" s="27"/>
      <c r="Y969" s="27"/>
      <c r="Z969" s="27"/>
      <c r="AA969" s="27"/>
      <c r="AB969" s="27"/>
      <c r="AC969" s="27"/>
      <c r="AD969" s="27"/>
    </row>
    <row r="970" ht="15.75" customHeight="1">
      <c r="G970" s="23"/>
      <c r="K970" s="24"/>
      <c r="L970" s="24"/>
      <c r="N970" s="25"/>
      <c r="O970" s="25"/>
      <c r="P970" s="25"/>
      <c r="Q970" s="25"/>
      <c r="R970" s="25"/>
      <c r="S970" s="25"/>
      <c r="T970" s="25"/>
      <c r="U970" s="26"/>
      <c r="V970" s="27"/>
      <c r="W970" s="27"/>
      <c r="X970" s="27"/>
      <c r="Y970" s="27"/>
      <c r="Z970" s="27"/>
      <c r="AA970" s="27"/>
      <c r="AB970" s="27"/>
      <c r="AC970" s="27"/>
      <c r="AD970" s="27"/>
    </row>
    <row r="971" ht="15.75" customHeight="1">
      <c r="G971" s="23"/>
      <c r="K971" s="24"/>
      <c r="L971" s="24"/>
      <c r="N971" s="25"/>
      <c r="O971" s="25"/>
      <c r="P971" s="25"/>
      <c r="Q971" s="25"/>
      <c r="R971" s="25"/>
      <c r="S971" s="25"/>
      <c r="T971" s="25"/>
      <c r="U971" s="26"/>
      <c r="V971" s="27"/>
      <c r="W971" s="27"/>
      <c r="X971" s="27"/>
      <c r="Y971" s="27"/>
      <c r="Z971" s="27"/>
      <c r="AA971" s="27"/>
      <c r="AB971" s="27"/>
      <c r="AC971" s="27"/>
      <c r="AD971" s="27"/>
    </row>
    <row r="972" ht="15.75" customHeight="1">
      <c r="G972" s="23"/>
      <c r="K972" s="24"/>
      <c r="L972" s="24"/>
      <c r="N972" s="25"/>
      <c r="O972" s="25"/>
      <c r="P972" s="25"/>
      <c r="Q972" s="25"/>
      <c r="R972" s="25"/>
      <c r="S972" s="25"/>
      <c r="T972" s="25"/>
      <c r="U972" s="26"/>
      <c r="V972" s="27"/>
      <c r="W972" s="27"/>
      <c r="X972" s="27"/>
      <c r="Y972" s="27"/>
      <c r="Z972" s="27"/>
      <c r="AA972" s="27"/>
      <c r="AB972" s="27"/>
      <c r="AC972" s="27"/>
      <c r="AD972" s="27"/>
    </row>
    <row r="973" ht="15.75" customHeight="1">
      <c r="G973" s="23"/>
      <c r="K973" s="24"/>
      <c r="L973" s="24"/>
      <c r="N973" s="25"/>
      <c r="O973" s="25"/>
      <c r="P973" s="25"/>
      <c r="Q973" s="25"/>
      <c r="R973" s="25"/>
      <c r="S973" s="25"/>
      <c r="T973" s="25"/>
      <c r="U973" s="26"/>
      <c r="V973" s="27"/>
      <c r="W973" s="27"/>
      <c r="X973" s="27"/>
      <c r="Y973" s="27"/>
      <c r="Z973" s="27"/>
      <c r="AA973" s="27"/>
      <c r="AB973" s="27"/>
      <c r="AC973" s="27"/>
      <c r="AD973" s="27"/>
    </row>
    <row r="974" ht="15.75" customHeight="1">
      <c r="G974" s="23"/>
      <c r="K974" s="24"/>
      <c r="L974" s="24"/>
      <c r="N974" s="25"/>
      <c r="O974" s="25"/>
      <c r="P974" s="25"/>
      <c r="Q974" s="25"/>
      <c r="R974" s="25"/>
      <c r="S974" s="25"/>
      <c r="T974" s="25"/>
      <c r="U974" s="26"/>
      <c r="V974" s="27"/>
      <c r="W974" s="27"/>
      <c r="X974" s="27"/>
      <c r="Y974" s="27"/>
      <c r="Z974" s="27"/>
      <c r="AA974" s="27"/>
      <c r="AB974" s="27"/>
      <c r="AC974" s="27"/>
      <c r="AD974" s="27"/>
    </row>
    <row r="975" ht="15.75" customHeight="1">
      <c r="G975" s="23"/>
      <c r="K975" s="24"/>
      <c r="L975" s="24"/>
      <c r="N975" s="25"/>
      <c r="O975" s="25"/>
      <c r="P975" s="25"/>
      <c r="Q975" s="25"/>
      <c r="R975" s="25"/>
      <c r="S975" s="25"/>
      <c r="T975" s="25"/>
      <c r="U975" s="26"/>
      <c r="V975" s="27"/>
      <c r="W975" s="27"/>
      <c r="X975" s="27"/>
      <c r="Y975" s="27"/>
      <c r="Z975" s="27"/>
      <c r="AA975" s="27"/>
      <c r="AB975" s="27"/>
      <c r="AC975" s="27"/>
      <c r="AD975" s="27"/>
    </row>
    <row r="976" ht="15.75" customHeight="1">
      <c r="G976" s="23"/>
      <c r="K976" s="24"/>
      <c r="L976" s="24"/>
      <c r="N976" s="25"/>
      <c r="O976" s="25"/>
      <c r="P976" s="25"/>
      <c r="Q976" s="25"/>
      <c r="R976" s="25"/>
      <c r="S976" s="25"/>
      <c r="T976" s="25"/>
      <c r="U976" s="26"/>
      <c r="V976" s="27"/>
      <c r="W976" s="27"/>
      <c r="X976" s="27"/>
      <c r="Y976" s="27"/>
      <c r="Z976" s="27"/>
      <c r="AA976" s="27"/>
      <c r="AB976" s="27"/>
      <c r="AC976" s="27"/>
      <c r="AD976" s="27"/>
    </row>
    <row r="977" ht="15.75" customHeight="1">
      <c r="G977" s="23"/>
      <c r="K977" s="24"/>
      <c r="L977" s="24"/>
      <c r="N977" s="25"/>
      <c r="O977" s="25"/>
      <c r="P977" s="25"/>
      <c r="Q977" s="25"/>
      <c r="R977" s="25"/>
      <c r="S977" s="25"/>
      <c r="T977" s="25"/>
      <c r="U977" s="26"/>
      <c r="V977" s="27"/>
      <c r="W977" s="27"/>
      <c r="X977" s="27"/>
      <c r="Y977" s="27"/>
      <c r="Z977" s="27"/>
      <c r="AA977" s="27"/>
      <c r="AB977" s="27"/>
      <c r="AC977" s="27"/>
      <c r="AD977" s="27"/>
    </row>
    <row r="978" ht="15.75" customHeight="1">
      <c r="G978" s="23"/>
      <c r="K978" s="24"/>
      <c r="L978" s="24"/>
      <c r="N978" s="25"/>
      <c r="O978" s="25"/>
      <c r="P978" s="25"/>
      <c r="Q978" s="25"/>
      <c r="R978" s="25"/>
      <c r="S978" s="25"/>
      <c r="T978" s="25"/>
      <c r="U978" s="26"/>
      <c r="V978" s="27"/>
      <c r="W978" s="27"/>
      <c r="X978" s="27"/>
      <c r="Y978" s="27"/>
      <c r="Z978" s="27"/>
      <c r="AA978" s="27"/>
      <c r="AB978" s="27"/>
      <c r="AC978" s="27"/>
      <c r="AD978" s="27"/>
    </row>
    <row r="979" ht="15.75" customHeight="1">
      <c r="G979" s="23"/>
      <c r="K979" s="24"/>
      <c r="L979" s="24"/>
      <c r="N979" s="25"/>
      <c r="O979" s="25"/>
      <c r="P979" s="25"/>
      <c r="Q979" s="25"/>
      <c r="R979" s="25"/>
      <c r="S979" s="25"/>
      <c r="T979" s="25"/>
      <c r="U979" s="26"/>
      <c r="V979" s="27"/>
      <c r="W979" s="27"/>
      <c r="X979" s="27"/>
      <c r="Y979" s="27"/>
      <c r="Z979" s="27"/>
      <c r="AA979" s="27"/>
      <c r="AB979" s="27"/>
      <c r="AC979" s="27"/>
      <c r="AD979" s="27"/>
    </row>
    <row r="980" ht="15.75" customHeight="1">
      <c r="G980" s="23"/>
      <c r="K980" s="24"/>
      <c r="L980" s="24"/>
      <c r="N980" s="25"/>
      <c r="O980" s="25"/>
      <c r="P980" s="25"/>
      <c r="Q980" s="25"/>
      <c r="R980" s="25"/>
      <c r="S980" s="25"/>
      <c r="T980" s="25"/>
      <c r="U980" s="26"/>
      <c r="V980" s="27"/>
      <c r="W980" s="27"/>
      <c r="X980" s="27"/>
      <c r="Y980" s="27"/>
      <c r="Z980" s="27"/>
      <c r="AA980" s="27"/>
      <c r="AB980" s="27"/>
      <c r="AC980" s="27"/>
      <c r="AD980" s="27"/>
    </row>
    <row r="981" ht="15.75" customHeight="1">
      <c r="G981" s="23"/>
      <c r="K981" s="24"/>
      <c r="L981" s="24"/>
      <c r="N981" s="25"/>
      <c r="O981" s="25"/>
      <c r="P981" s="25"/>
      <c r="Q981" s="25"/>
      <c r="R981" s="25"/>
      <c r="S981" s="25"/>
      <c r="T981" s="25"/>
      <c r="U981" s="26"/>
      <c r="V981" s="27"/>
      <c r="W981" s="27"/>
      <c r="X981" s="27"/>
      <c r="Y981" s="27"/>
      <c r="Z981" s="27"/>
      <c r="AA981" s="27"/>
      <c r="AB981" s="27"/>
      <c r="AC981" s="27"/>
      <c r="AD981" s="27"/>
    </row>
    <row r="982" ht="15.75" customHeight="1">
      <c r="G982" s="23"/>
      <c r="K982" s="24"/>
      <c r="L982" s="24"/>
      <c r="N982" s="25"/>
      <c r="O982" s="25"/>
      <c r="P982" s="25"/>
      <c r="Q982" s="25"/>
      <c r="R982" s="25"/>
      <c r="S982" s="25"/>
      <c r="T982" s="25"/>
      <c r="U982" s="26"/>
      <c r="V982" s="27"/>
      <c r="W982" s="27"/>
      <c r="X982" s="27"/>
      <c r="Y982" s="27"/>
      <c r="Z982" s="27"/>
      <c r="AA982" s="27"/>
      <c r="AB982" s="27"/>
      <c r="AC982" s="27"/>
      <c r="AD982" s="27"/>
    </row>
    <row r="983" ht="15.75" customHeight="1">
      <c r="G983" s="23"/>
      <c r="K983" s="24"/>
      <c r="L983" s="24"/>
      <c r="N983" s="25"/>
      <c r="O983" s="25"/>
      <c r="P983" s="25"/>
      <c r="Q983" s="25"/>
      <c r="R983" s="25"/>
      <c r="S983" s="25"/>
      <c r="T983" s="25"/>
      <c r="U983" s="26"/>
      <c r="V983" s="27"/>
      <c r="W983" s="27"/>
      <c r="X983" s="27"/>
      <c r="Y983" s="27"/>
      <c r="Z983" s="27"/>
      <c r="AA983" s="27"/>
      <c r="AB983" s="27"/>
      <c r="AC983" s="27"/>
      <c r="AD983" s="27"/>
    </row>
    <row r="984" ht="15.75" customHeight="1">
      <c r="G984" s="23"/>
      <c r="K984" s="24"/>
      <c r="L984" s="24"/>
      <c r="N984" s="25"/>
      <c r="O984" s="25"/>
      <c r="P984" s="25"/>
      <c r="Q984" s="25"/>
      <c r="R984" s="25"/>
      <c r="S984" s="25"/>
      <c r="T984" s="25"/>
      <c r="U984" s="26"/>
      <c r="V984" s="27"/>
      <c r="W984" s="27"/>
      <c r="X984" s="27"/>
      <c r="Y984" s="27"/>
      <c r="Z984" s="27"/>
      <c r="AA984" s="27"/>
      <c r="AB984" s="27"/>
      <c r="AC984" s="27"/>
      <c r="AD984" s="27"/>
    </row>
    <row r="985" ht="15.75" customHeight="1">
      <c r="G985" s="23"/>
      <c r="K985" s="24"/>
      <c r="L985" s="24"/>
      <c r="N985" s="25"/>
      <c r="O985" s="25"/>
      <c r="P985" s="25"/>
      <c r="Q985" s="25"/>
      <c r="R985" s="25"/>
      <c r="S985" s="25"/>
      <c r="T985" s="25"/>
      <c r="U985" s="26"/>
      <c r="V985" s="27"/>
      <c r="W985" s="27"/>
      <c r="X985" s="27"/>
      <c r="Y985" s="27"/>
      <c r="Z985" s="27"/>
      <c r="AA985" s="27"/>
      <c r="AB985" s="27"/>
      <c r="AC985" s="27"/>
      <c r="AD985" s="27"/>
    </row>
    <row r="986" ht="15.75" customHeight="1">
      <c r="G986" s="23"/>
      <c r="K986" s="24"/>
      <c r="L986" s="24"/>
      <c r="N986" s="25"/>
      <c r="O986" s="25"/>
      <c r="P986" s="25"/>
      <c r="Q986" s="25"/>
      <c r="R986" s="25"/>
      <c r="S986" s="25"/>
      <c r="T986" s="25"/>
      <c r="U986" s="26"/>
      <c r="V986" s="27"/>
      <c r="W986" s="27"/>
      <c r="X986" s="27"/>
      <c r="Y986" s="27"/>
      <c r="Z986" s="27"/>
      <c r="AA986" s="27"/>
      <c r="AB986" s="27"/>
      <c r="AC986" s="27"/>
      <c r="AD986" s="27"/>
    </row>
    <row r="987" ht="15.75" customHeight="1">
      <c r="G987" s="23"/>
      <c r="K987" s="24"/>
      <c r="L987" s="24"/>
      <c r="N987" s="25"/>
      <c r="O987" s="25"/>
      <c r="P987" s="25"/>
      <c r="Q987" s="25"/>
      <c r="R987" s="25"/>
      <c r="S987" s="25"/>
      <c r="T987" s="25"/>
      <c r="U987" s="26"/>
      <c r="V987" s="27"/>
      <c r="W987" s="27"/>
      <c r="X987" s="27"/>
      <c r="Y987" s="27"/>
      <c r="Z987" s="27"/>
      <c r="AA987" s="27"/>
      <c r="AB987" s="27"/>
      <c r="AC987" s="27"/>
      <c r="AD987" s="27"/>
    </row>
    <row r="988" ht="15.75" customHeight="1">
      <c r="G988" s="23"/>
      <c r="K988" s="24"/>
      <c r="L988" s="24"/>
      <c r="N988" s="25"/>
      <c r="O988" s="25"/>
      <c r="P988" s="25"/>
      <c r="Q988" s="25"/>
      <c r="R988" s="25"/>
      <c r="S988" s="25"/>
      <c r="T988" s="25"/>
      <c r="U988" s="26"/>
      <c r="V988" s="27"/>
      <c r="W988" s="27"/>
      <c r="X988" s="27"/>
      <c r="Y988" s="27"/>
      <c r="Z988" s="27"/>
      <c r="AA988" s="27"/>
      <c r="AB988" s="27"/>
      <c r="AC988" s="27"/>
      <c r="AD988" s="27"/>
    </row>
    <row r="989" ht="15.75" customHeight="1">
      <c r="G989" s="23"/>
      <c r="K989" s="24"/>
      <c r="L989" s="24"/>
      <c r="N989" s="25"/>
      <c r="O989" s="25"/>
      <c r="P989" s="25"/>
      <c r="Q989" s="25"/>
      <c r="R989" s="25"/>
      <c r="S989" s="25"/>
      <c r="T989" s="25"/>
      <c r="U989" s="26"/>
      <c r="V989" s="27"/>
      <c r="W989" s="27"/>
      <c r="X989" s="27"/>
      <c r="Y989" s="27"/>
      <c r="Z989" s="27"/>
      <c r="AA989" s="27"/>
      <c r="AB989" s="27"/>
      <c r="AC989" s="27"/>
      <c r="AD989" s="27"/>
    </row>
    <row r="990" ht="15.75" customHeight="1">
      <c r="G990" s="23"/>
      <c r="K990" s="24"/>
      <c r="L990" s="24"/>
      <c r="N990" s="25"/>
      <c r="O990" s="25"/>
      <c r="P990" s="25"/>
      <c r="Q990" s="25"/>
      <c r="R990" s="25"/>
      <c r="S990" s="25"/>
      <c r="T990" s="25"/>
      <c r="U990" s="26"/>
      <c r="V990" s="27"/>
      <c r="W990" s="27"/>
      <c r="X990" s="27"/>
      <c r="Y990" s="27"/>
      <c r="Z990" s="27"/>
      <c r="AA990" s="27"/>
      <c r="AB990" s="27"/>
      <c r="AC990" s="27"/>
      <c r="AD990" s="27"/>
    </row>
    <row r="991" ht="15.75" customHeight="1">
      <c r="G991" s="23"/>
      <c r="K991" s="24"/>
      <c r="L991" s="24"/>
      <c r="N991" s="25"/>
      <c r="O991" s="25"/>
      <c r="P991" s="25"/>
      <c r="Q991" s="25"/>
      <c r="R991" s="25"/>
      <c r="S991" s="25"/>
      <c r="T991" s="25"/>
      <c r="U991" s="26"/>
      <c r="V991" s="27"/>
      <c r="W991" s="27"/>
      <c r="X991" s="27"/>
      <c r="Y991" s="27"/>
      <c r="Z991" s="27"/>
      <c r="AA991" s="27"/>
      <c r="AB991" s="27"/>
      <c r="AC991" s="27"/>
      <c r="AD991" s="27"/>
    </row>
    <row r="992" ht="15.75" customHeight="1">
      <c r="G992" s="23"/>
      <c r="K992" s="24"/>
      <c r="L992" s="24"/>
      <c r="N992" s="25"/>
      <c r="O992" s="25"/>
      <c r="P992" s="25"/>
      <c r="Q992" s="25"/>
      <c r="R992" s="25"/>
      <c r="S992" s="25"/>
      <c r="T992" s="25"/>
      <c r="U992" s="26"/>
      <c r="V992" s="27"/>
      <c r="W992" s="27"/>
      <c r="X992" s="27"/>
      <c r="Y992" s="27"/>
      <c r="Z992" s="27"/>
      <c r="AA992" s="27"/>
      <c r="AB992" s="27"/>
      <c r="AC992" s="27"/>
      <c r="AD992" s="27"/>
    </row>
    <row r="993" ht="15.75" customHeight="1">
      <c r="G993" s="23"/>
      <c r="K993" s="24"/>
      <c r="L993" s="24"/>
      <c r="N993" s="25"/>
      <c r="O993" s="25"/>
      <c r="P993" s="25"/>
      <c r="Q993" s="25"/>
      <c r="R993" s="25"/>
      <c r="S993" s="25"/>
      <c r="T993" s="25"/>
      <c r="U993" s="26"/>
      <c r="V993" s="27"/>
      <c r="W993" s="27"/>
      <c r="X993" s="27"/>
      <c r="Y993" s="27"/>
      <c r="Z993" s="27"/>
      <c r="AA993" s="27"/>
      <c r="AB993" s="27"/>
      <c r="AC993" s="27"/>
      <c r="AD993" s="27"/>
    </row>
    <row r="994" ht="15.75" customHeight="1">
      <c r="G994" s="23"/>
      <c r="K994" s="24"/>
      <c r="L994" s="24"/>
      <c r="N994" s="25"/>
      <c r="O994" s="25"/>
      <c r="P994" s="25"/>
      <c r="Q994" s="25"/>
      <c r="R994" s="25"/>
      <c r="S994" s="25"/>
      <c r="T994" s="25"/>
      <c r="U994" s="26"/>
      <c r="V994" s="27"/>
      <c r="W994" s="27"/>
      <c r="X994" s="27"/>
      <c r="Y994" s="27"/>
      <c r="Z994" s="27"/>
      <c r="AA994" s="27"/>
      <c r="AB994" s="27"/>
      <c r="AC994" s="27"/>
      <c r="AD994" s="27"/>
    </row>
    <row r="995" ht="15.75" customHeight="1">
      <c r="G995" s="23"/>
      <c r="K995" s="24"/>
      <c r="L995" s="24"/>
      <c r="N995" s="25"/>
      <c r="O995" s="25"/>
      <c r="P995" s="25"/>
      <c r="Q995" s="25"/>
      <c r="R995" s="25"/>
      <c r="S995" s="25"/>
      <c r="T995" s="25"/>
      <c r="U995" s="26"/>
      <c r="V995" s="27"/>
      <c r="W995" s="27"/>
      <c r="X995" s="27"/>
      <c r="Y995" s="27"/>
      <c r="Z995" s="27"/>
      <c r="AA995" s="27"/>
      <c r="AB995" s="27"/>
      <c r="AC995" s="27"/>
      <c r="AD995" s="27"/>
    </row>
    <row r="996" ht="15.75" customHeight="1">
      <c r="G996" s="23"/>
      <c r="K996" s="24"/>
      <c r="L996" s="24"/>
      <c r="N996" s="25"/>
      <c r="O996" s="25"/>
      <c r="P996" s="25"/>
      <c r="Q996" s="25"/>
      <c r="R996" s="25"/>
      <c r="S996" s="25"/>
      <c r="T996" s="25"/>
      <c r="U996" s="26"/>
      <c r="V996" s="27"/>
      <c r="W996" s="27"/>
      <c r="X996" s="27"/>
      <c r="Y996" s="27"/>
      <c r="Z996" s="27"/>
      <c r="AA996" s="27"/>
      <c r="AB996" s="27"/>
      <c r="AC996" s="27"/>
      <c r="AD996" s="27"/>
    </row>
    <row r="997" ht="15.75" customHeight="1">
      <c r="G997" s="23"/>
      <c r="K997" s="24"/>
      <c r="L997" s="24"/>
      <c r="N997" s="25"/>
      <c r="O997" s="25"/>
      <c r="P997" s="25"/>
      <c r="Q997" s="25"/>
      <c r="R997" s="25"/>
      <c r="S997" s="25"/>
      <c r="T997" s="25"/>
      <c r="U997" s="26"/>
      <c r="V997" s="27"/>
      <c r="W997" s="27"/>
      <c r="X997" s="27"/>
      <c r="Y997" s="27"/>
      <c r="Z997" s="27"/>
      <c r="AA997" s="27"/>
      <c r="AB997" s="27"/>
      <c r="AC997" s="27"/>
      <c r="AD997" s="27"/>
    </row>
    <row r="998" ht="15.75" customHeight="1">
      <c r="G998" s="23"/>
      <c r="K998" s="24"/>
      <c r="L998" s="24"/>
      <c r="N998" s="25"/>
      <c r="O998" s="25"/>
      <c r="P998" s="25"/>
      <c r="Q998" s="25"/>
      <c r="R998" s="25"/>
      <c r="S998" s="25"/>
      <c r="T998" s="25"/>
      <c r="U998" s="26"/>
      <c r="V998" s="27"/>
      <c r="W998" s="27"/>
      <c r="X998" s="27"/>
      <c r="Y998" s="27"/>
      <c r="Z998" s="27"/>
      <c r="AA998" s="27"/>
      <c r="AB998" s="27"/>
      <c r="AC998" s="27"/>
      <c r="AD998" s="27"/>
    </row>
    <row r="999" ht="15.75" customHeight="1">
      <c r="G999" s="23"/>
      <c r="K999" s="24"/>
      <c r="L999" s="24"/>
      <c r="N999" s="25"/>
      <c r="O999" s="25"/>
      <c r="P999" s="25"/>
      <c r="Q999" s="25"/>
      <c r="R999" s="25"/>
      <c r="S999" s="25"/>
      <c r="T999" s="25"/>
      <c r="U999" s="26"/>
      <c r="V999" s="27"/>
      <c r="W999" s="27"/>
      <c r="X999" s="27"/>
      <c r="Y999" s="27"/>
      <c r="Z999" s="27"/>
      <c r="AA999" s="27"/>
      <c r="AB999" s="27"/>
      <c r="AC999" s="27"/>
      <c r="AD999" s="27"/>
    </row>
    <row r="1000" ht="15.75" customHeight="1">
      <c r="G1000" s="23"/>
      <c r="K1000" s="24"/>
      <c r="L1000" s="24"/>
      <c r="N1000" s="25"/>
      <c r="O1000" s="25"/>
      <c r="P1000" s="25"/>
      <c r="Q1000" s="25"/>
      <c r="R1000" s="25"/>
      <c r="S1000" s="25"/>
      <c r="T1000" s="25"/>
      <c r="U1000" s="26"/>
      <c r="V1000" s="27"/>
      <c r="W1000" s="27"/>
      <c r="X1000" s="27"/>
      <c r="Y1000" s="27"/>
      <c r="Z1000" s="27"/>
      <c r="AA1000" s="27"/>
      <c r="AB1000" s="27"/>
      <c r="AC1000" s="27"/>
      <c r="AD1000" s="27"/>
    </row>
  </sheetData>
  <autoFilter ref="$A$1:$AC$1"/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2023-05-27T01:58:18Z</dcterms:created>
  <dc:creator>Fabio Ribeiro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0x0101002D6CDE85E3F51741ABBA74EF7E838279</vt:lpwstr>
  </property>
  <property fmtid="{D5CDD505-2E9C-101B-9397-08002B2CF9AE}" pid="3" name="MediaServiceImageTags">
    <vt:lpwstr/>
  </property>
</Properties>
</file>